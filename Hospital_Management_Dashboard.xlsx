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430"/>
  <workbookPr defaultThemeVersion="166925"/>
  <mc:AlternateContent xmlns:mc="http://schemas.openxmlformats.org/markup-compatibility/2006">
    <mc:Choice Requires="x15">
      <x15ac:absPath xmlns:x15ac="http://schemas.microsoft.com/office/spreadsheetml/2010/11/ac" url="C:\Users\pratham\Documents\Hospital Emergency Room DashBoard\"/>
    </mc:Choice>
  </mc:AlternateContent>
  <xr:revisionPtr revIDLastSave="0" documentId="8_{E2CF4C06-3C44-4215-B7D5-5DD77FD9E5AA}" xr6:coauthVersionLast="47" xr6:coauthVersionMax="47" xr10:uidLastSave="{00000000-0000-0000-0000-000000000000}"/>
  <bookViews>
    <workbookView xWindow="-108" yWindow="-108" windowWidth="23256" windowHeight="12456" activeTab="1" xr2:uid="{D7ACB33D-96A8-4048-85D2-72C99E88E39B}"/>
  </bookViews>
  <sheets>
    <sheet name="Pivot Report" sheetId="1" r:id="rId1"/>
    <sheet name="Dashboard" sheetId="2" r:id="rId2"/>
    <sheet name="No of Patients (ER)" sheetId="4" r:id="rId3"/>
    <sheet name="Average Wait Time (Daily Trend)" sheetId="5" r:id="rId4"/>
    <sheet name="Satisfaction Score" sheetId="6" r:id="rId5"/>
  </sheets>
  <definedNames>
    <definedName name="Slicer_Date__Month">#N/A</definedName>
    <definedName name="Slicer_Date__Year">#N/A</definedName>
  </definedNames>
  <calcPr calcId="191029"/>
  <pivotCaches>
    <pivotCache cacheId="1579" r:id="rId6"/>
    <pivotCache cacheId="1582" r:id="rId7"/>
    <pivotCache cacheId="1585" r:id="rId8"/>
    <pivotCache cacheId="1588" r:id="rId9"/>
    <pivotCache cacheId="1591" r:id="rId10"/>
    <pivotCache cacheId="1594" r:id="rId11"/>
    <pivotCache cacheId="1597" r:id="rId12"/>
    <pivotCache cacheId="1600" r:id="rId13"/>
    <pivotCache cacheId="1603" r:id="rId14"/>
    <pivotCache cacheId="1606" r:id="rId15"/>
    <pivotCache cacheId="1609" r:id="rId16"/>
  </pivotCaches>
  <extLst>
    <ext xmlns:x14="http://schemas.microsoft.com/office/spreadsheetml/2009/9/main" uri="{876F7934-8845-4945-9796-88D515C7AA90}">
      <x14:pivotCaches>
        <pivotCache cacheId="762" r:id="rId17"/>
      </x14:pivotCaches>
    </ext>
    <ext xmlns:x14="http://schemas.microsoft.com/office/spreadsheetml/2009/9/main" uri="{BBE1A952-AA13-448e-AADC-164F8A28A991}">
      <x14:slicerCaches>
        <x14:slicerCache r:id="rId18"/>
        <x14:slicerCache r:id="rId1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e1f1cc88-1ba8-4bab-aba6-ed8339ecbd55" name="Hospital Emergency Room Data" connection="Query - Hospital Emergency Room Data"/>
          <x15:modelTable id="Calendar_Table_925641c1-fe5a-4cdb-b1cb-ee585372a4cb"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0" i="1" l="1"/>
  <c r="B50" i="1"/>
  <c r="C50" i="1"/>
  <c r="B51" i="1"/>
  <c r="C51" i="1"/>
  <c r="A5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291553E-6411-4C11-A7EA-FBE21A26341A}" name="Query - Calendar_Table" description="Connection to the 'Calendar_Table' query in the workbook." type="100" refreshedVersion="7" minRefreshableVersion="5">
    <extLst>
      <ext xmlns:x15="http://schemas.microsoft.com/office/spreadsheetml/2010/11/main" uri="{DE250136-89BD-433C-8126-D09CA5730AF9}">
        <x15:connection id="80b9d2ba-dcaa-46e0-9a31-76ebbef6de05"/>
      </ext>
    </extLst>
  </connection>
  <connection id="2" xr16:uid="{533A9AF0-1A78-42DA-86F0-29B542F43BCF}"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ce46a25e-5838-401a-9eee-5699e9bcc0d4"/>
      </ext>
    </extLst>
  </connection>
  <connection id="3" xr16:uid="{D64D0468-1772-4B06-B751-370491F01559}"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<sst xmlns="http://schemas.openxmlformats.org/spreadsheetml/2006/main" count="153" uniqueCount="74">
  <si>
    <t>Distinct Count of Patient Id</t>
  </si>
  <si>
    <t>No. Of Patient</t>
  </si>
  <si>
    <t>No. Of Patients</t>
  </si>
  <si>
    <t>Average of Patient Waittime</t>
  </si>
  <si>
    <t>Average of Patient Satisfaction Score</t>
  </si>
  <si>
    <t>Row Labels</t>
  </si>
  <si>
    <t>Grand Total</t>
  </si>
  <si>
    <t>Daily Trends of no. of patients visiting in ER</t>
  </si>
  <si>
    <t>Average wait time</t>
  </si>
  <si>
    <t>Patient Satisfaction Score</t>
  </si>
  <si>
    <t>Satisfaction Score</t>
  </si>
  <si>
    <t>Admitted</t>
  </si>
  <si>
    <t>Not Admitted</t>
  </si>
  <si>
    <t>Count of Patient Admission Flag</t>
  </si>
  <si>
    <t>Count of Patient Admission Flag2</t>
  </si>
  <si>
    <t>Admittion Status</t>
  </si>
  <si>
    <t>%Status</t>
  </si>
  <si>
    <t xml:space="preserve"> </t>
  </si>
  <si>
    <t>1-May</t>
  </si>
  <si>
    <t>2-May</t>
  </si>
  <si>
    <t>3-May</t>
  </si>
  <si>
    <t>4-May</t>
  </si>
  <si>
    <t>5-May</t>
  </si>
  <si>
    <t>6-May</t>
  </si>
  <si>
    <t>7-May</t>
  </si>
  <si>
    <t>8-May</t>
  </si>
  <si>
    <t>9-May</t>
  </si>
  <si>
    <t>10-May</t>
  </si>
  <si>
    <t>11-May</t>
  </si>
  <si>
    <t>12-May</t>
  </si>
  <si>
    <t>13-May</t>
  </si>
  <si>
    <t>14-May</t>
  </si>
  <si>
    <t>15-May</t>
  </si>
  <si>
    <t>16-May</t>
  </si>
  <si>
    <t>17-May</t>
  </si>
  <si>
    <t>18-May</t>
  </si>
  <si>
    <t>19-May</t>
  </si>
  <si>
    <t>20-May</t>
  </si>
  <si>
    <t>21-May</t>
  </si>
  <si>
    <t>22-May</t>
  </si>
  <si>
    <t>23-May</t>
  </si>
  <si>
    <t>24-May</t>
  </si>
  <si>
    <t>25-May</t>
  </si>
  <si>
    <t>26-May</t>
  </si>
  <si>
    <t>27-May</t>
  </si>
  <si>
    <t>28-May</t>
  </si>
  <si>
    <t>29-May</t>
  </si>
  <si>
    <t>30-May</t>
  </si>
  <si>
    <t>31-May</t>
  </si>
  <si>
    <t>0-9</t>
  </si>
  <si>
    <t>10-19</t>
  </si>
  <si>
    <t>20-29</t>
  </si>
  <si>
    <t>30-39</t>
  </si>
  <si>
    <t>40-49</t>
  </si>
  <si>
    <t>50-59</t>
  </si>
  <si>
    <t>60-69</t>
  </si>
  <si>
    <t>70-79</t>
  </si>
  <si>
    <t>Count of Age Group</t>
  </si>
  <si>
    <t>Age Group Wise Analysis</t>
  </si>
  <si>
    <t>Delay</t>
  </si>
  <si>
    <t>Ontime</t>
  </si>
  <si>
    <t>Count of Patient Id</t>
  </si>
  <si>
    <t>Attend Status</t>
  </si>
  <si>
    <t>Neurology</t>
  </si>
  <si>
    <t>None</t>
  </si>
  <si>
    <t>Cardiology</t>
  </si>
  <si>
    <t>Gastroenterology</t>
  </si>
  <si>
    <t>General Practice</t>
  </si>
  <si>
    <t>Orthopedics</t>
  </si>
  <si>
    <t>Physiotherapy</t>
  </si>
  <si>
    <t>Renal</t>
  </si>
  <si>
    <t>Count of Department Referral</t>
  </si>
  <si>
    <t>Department</t>
  </si>
  <si>
    <t>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</si>
</sst>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Calibri"/>
      <family val="2"/>
      <scheme val="minor"/>
    </font>
    <font>
      <sz val="11"/>
      <color theme="1" tint="4.9989318521683403E-2"/>
      <name val="Calibri"/>
      <family val="2"/>
      <scheme val="minor"/>
    </font>
    <font>
      <sz val="11"/>
      <color theme="1"/>
      <name val="Calibri"/>
      <family val="2"/>
      <scheme val="minor"/>
    </font>
    <font>
      <sz val="14"/>
      <color theme="1"/>
      <name val="Times New Roman"/>
      <family val="1"/>
    </font>
  </fonts>
  <fills count="6">
    <fill>
      <patternFill patternType="none"/>
    </fill>
    <fill>
      <patternFill patternType="gray125"/>
    </fill>
    <fill>
      <patternFill patternType="solid">
        <fgColor theme="1" tint="0.14999847407452621"/>
        <bgColor indexed="64"/>
      </patternFill>
    </fill>
    <fill>
      <patternFill patternType="solid">
        <fgColor theme="3" tint="-0.499984740745262"/>
        <bgColor indexed="64"/>
      </patternFill>
    </fill>
    <fill>
      <patternFill patternType="solid">
        <fgColor theme="4" tint="-0.499984740745262"/>
        <bgColor indexed="64"/>
      </patternFill>
    </fill>
    <fill>
      <patternFill patternType="solid">
        <fgColor theme="4" tint="0.39997558519241921"/>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5">
    <xf numFmtId="0" fontId="0" fillId="0" borderId="0" xfId="0"/>
    <xf numFmtId="2" fontId="0" fillId="0" borderId="0" xfId="0" applyNumberFormat="1"/>
    <xf numFmtId="0" fontId="1" fillId="2" borderId="0" xfId="0" applyFont="1" applyFill="1"/>
    <xf numFmtId="0" fontId="0" fillId="0" borderId="0" xfId="0" pivotButton="1"/>
    <xf numFmtId="0" fontId="0" fillId="0" borderId="0" xfId="0" applyAlignment="1">
      <alignment horizontal="left"/>
    </xf>
    <xf numFmtId="0" fontId="0" fillId="3" borderId="0" xfId="0" applyFill="1"/>
    <xf numFmtId="0" fontId="0" fillId="4" borderId="0" xfId="0" applyFill="1"/>
    <xf numFmtId="10" fontId="0" fillId="0" borderId="0" xfId="0" applyNumberFormat="1"/>
    <xf numFmtId="0" fontId="0" fillId="5" borderId="0" xfId="0" applyFill="1"/>
    <xf numFmtId="0" fontId="0" fillId="0" borderId="0" xfId="0" applyNumberFormat="1"/>
    <xf numFmtId="1" fontId="0" fillId="0" borderId="0" xfId="0" applyNumberFormat="1"/>
    <xf numFmtId="0" fontId="0" fillId="2" borderId="0" xfId="0" applyFill="1"/>
    <xf numFmtId="0" fontId="3" fillId="5" borderId="0" xfId="0" applyFont="1" applyFill="1" applyAlignment="1">
      <alignment horizontal="center"/>
    </xf>
    <xf numFmtId="0" fontId="3" fillId="0" borderId="0" xfId="0" applyFont="1" applyAlignment="1">
      <alignment horizontal="center"/>
    </xf>
    <xf numFmtId="9" fontId="3" fillId="0" borderId="0" xfId="1" applyFont="1" applyBorder="1" applyAlignment="1">
      <alignment horizontal="center"/>
    </xf>
  </cellXfs>
  <cellStyles count="2">
    <cellStyle name="Normal" xfId="0" builtinId="0"/>
    <cellStyle name="Percent" xfId="1" builtinId="5"/>
  </cellStyles>
  <dxfs count="35">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font>
        <b/>
        <color theme="1"/>
      </font>
      <border>
        <bottom style="thin">
          <color theme="4"/>
        </bottom>
        <vertical/>
        <horizontal/>
      </border>
    </dxf>
    <dxf>
      <font>
        <sz val="8"/>
        <color theme="1"/>
      </font>
      <fill>
        <patternFill>
          <bgColor theme="4" tint="-0.24994659260841701"/>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MyStyle" pivot="0" table="0" count="10" xr9:uid="{65C4962D-BAE8-46F7-B393-3D0123CE1DC5}">
      <tableStyleElement type="wholeTable" dxfId="34"/>
      <tableStyleElement type="headerRow" dxfId="33"/>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1.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connections" Target="connection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openxmlformats.org/officeDocument/2006/relationships/theme" Target="theme/theme1.xml"/><Relationship Id="rId29" Type="http://schemas.openxmlformats.org/officeDocument/2006/relationships/customXml" Target="../customXml/item4.xml"/><Relationship Id="rId41" Type="http://schemas.openxmlformats.org/officeDocument/2006/relationships/customXml" Target="../customXml/item16.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haredStrings" Target="sharedStrings.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5.xml"/><Relationship Id="rId19" Type="http://schemas.microsoft.com/office/2007/relationships/slicerCache" Target="slicerCaches/slicerCache2.xml"/><Relationship Id="rId31" Type="http://schemas.openxmlformats.org/officeDocument/2006/relationships/customXml" Target="../customXml/item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tyles" Target="style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Report!PivotTable7</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D69A1CF1-ACF2-4E0B-A80E-1E699D04F8A0}" type="CELLRANGE">
                  <a:rPr lang="en-US"/>
                  <a:pPr>
                    <a:defRPr sz="10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fld id="{9006804A-7A31-491E-A51D-C21771556A34}" type="CELLRANGE">
                  <a:rPr lang="en-US"/>
                  <a:pPr>
                    <a:defRPr sz="1000" b="0" i="0" u="none" strike="noStrike" kern="1200" baseline="0">
                      <a:solidFill>
                        <a:schemeClr val="tx1">
                          <a:lumMod val="75000"/>
                          <a:lumOff val="25000"/>
                        </a:schemeClr>
                      </a:solidFill>
                      <a:latin typeface="+mn-lt"/>
                      <a:ea typeface="+mn-ea"/>
                      <a:cs typeface="+mn-cs"/>
                    </a:defRPr>
                  </a:pPr>
                  <a:t>[CELLRANGE]</a:t>
                </a:fld>
                <a:endParaRPr lang="en-IN"/>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5.7114738687217854E-3"/>
          <c:y val="0.10406922738458028"/>
          <c:w val="0.88556357824552534"/>
          <c:h val="0.89593155987890216"/>
        </c:manualLayout>
      </c:layout>
      <c:barChart>
        <c:barDir val="bar"/>
        <c:grouping val="clustered"/>
        <c:varyColors val="0"/>
        <c:ser>
          <c:idx val="0"/>
          <c:order val="0"/>
          <c:tx>
            <c:strRef>
              <c:f>'Pivot Report'!$B$43</c:f>
              <c:strCache>
                <c:ptCount val="1"/>
                <c:pt idx="0">
                  <c:v>Count of Patient Admission Flag</c:v>
                </c:pt>
              </c:strCache>
            </c:strRef>
          </c:tx>
          <c:spPr>
            <a:solidFill>
              <a:schemeClr val="accent1"/>
            </a:solidFill>
            <a:ln>
              <a:noFill/>
            </a:ln>
            <a:effectLst/>
          </c:spPr>
          <c:invertIfNegative val="0"/>
          <c:dLbls>
            <c:dLbl>
              <c:idx val="0"/>
              <c:tx>
                <c:rich>
                  <a:bodyPr/>
                  <a:lstStyle/>
                  <a:p>
                    <a:fld id="{D69A1CF1-ACF2-4E0B-A80E-1E699D04F8A0}"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B6A7-4E27-8449-D9A624B02001}"/>
                </c:ext>
              </c:extLst>
            </c:dLbl>
            <c:dLbl>
              <c:idx val="1"/>
              <c:tx>
                <c:rich>
                  <a:bodyPr/>
                  <a:lstStyle/>
                  <a:p>
                    <a:fld id="{9006804A-7A31-491E-A51D-C21771556A34}"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B6A7-4E27-8449-D9A624B02001}"/>
                </c:ext>
              </c:extLst>
            </c:dLbl>
            <c:spPr>
              <a:noFill/>
              <a:ln>
                <a:noFill/>
              </a:ln>
              <a:effectLst/>
            </c:spPr>
            <c:txPr>
              <a:bodyPr rot="0" spcFirstLastPara="1" vertOverflow="ellipsis" vert="horz" wrap="non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ext>
            </c:extLst>
          </c:dLbls>
          <c:cat>
            <c:strRef>
              <c:f>'Pivot Report'!$A$44:$A$46</c:f>
              <c:strCache>
                <c:ptCount val="2"/>
                <c:pt idx="0">
                  <c:v>Admitted</c:v>
                </c:pt>
                <c:pt idx="1">
                  <c:v>Not Admitted</c:v>
                </c:pt>
              </c:strCache>
            </c:strRef>
          </c:cat>
          <c:val>
            <c:numRef>
              <c:f>'Pivot Report'!$B$44:$B$46</c:f>
              <c:numCache>
                <c:formatCode>0.00</c:formatCode>
                <c:ptCount val="2"/>
                <c:pt idx="0">
                  <c:v>266</c:v>
                </c:pt>
                <c:pt idx="1">
                  <c:v>253</c:v>
                </c:pt>
              </c:numCache>
            </c:numRef>
          </c:val>
          <c:extLst>
            <c:ext xmlns:c15="http://schemas.microsoft.com/office/drawing/2012/chart" uri="{02D57815-91ED-43cb-92C2-25804820EDAC}">
              <c15:datalabelsRange>
                <c15:f>'Pivot Report'!$C$44:$C$45</c15:f>
                <c15:dlblRangeCache>
                  <c:ptCount val="2"/>
                  <c:pt idx="0">
                    <c:v>51.25%</c:v>
                  </c:pt>
                  <c:pt idx="1">
                    <c:v>48.75%</c:v>
                  </c:pt>
                </c15:dlblRangeCache>
              </c15:datalabelsRange>
            </c:ext>
            <c:ext xmlns:c16="http://schemas.microsoft.com/office/drawing/2014/chart" uri="{C3380CC4-5D6E-409C-BE32-E72D297353CC}">
              <c16:uniqueId val="{00000005-B6A7-4E27-8449-D9A624B02001}"/>
            </c:ext>
          </c:extLst>
        </c:ser>
        <c:ser>
          <c:idx val="1"/>
          <c:order val="1"/>
          <c:tx>
            <c:strRef>
              <c:f>'Pivot Report'!$C$43</c:f>
              <c:strCache>
                <c:ptCount val="1"/>
                <c:pt idx="0">
                  <c:v>Count of Patient Admission Flag2</c:v>
                </c:pt>
              </c:strCache>
            </c:strRef>
          </c:tx>
          <c:spPr>
            <a:solidFill>
              <a:schemeClr val="accent2"/>
            </a:solidFill>
            <a:ln>
              <a:noFill/>
            </a:ln>
            <a:effectLst/>
          </c:spPr>
          <c:invertIfNegative val="0"/>
          <c:cat>
            <c:strRef>
              <c:f>'Pivot Report'!$A$44:$A$46</c:f>
              <c:strCache>
                <c:ptCount val="2"/>
                <c:pt idx="0">
                  <c:v>Admitted</c:v>
                </c:pt>
                <c:pt idx="1">
                  <c:v>Not Admitted</c:v>
                </c:pt>
              </c:strCache>
            </c:strRef>
          </c:cat>
          <c:val>
            <c:numRef>
              <c:f>'Pivot Report'!$C$44:$C$46</c:f>
              <c:numCache>
                <c:formatCode>0.00%</c:formatCode>
                <c:ptCount val="2"/>
                <c:pt idx="0">
                  <c:v>0.51252408477842004</c:v>
                </c:pt>
                <c:pt idx="1">
                  <c:v>0.48747591522157996</c:v>
                </c:pt>
              </c:numCache>
            </c:numRef>
          </c:val>
          <c:extLst>
            <c:ext xmlns:c16="http://schemas.microsoft.com/office/drawing/2014/chart" uri="{C3380CC4-5D6E-409C-BE32-E72D297353CC}">
              <c16:uniqueId val="{00000006-B6A7-4E27-8449-D9A624B02001}"/>
            </c:ext>
          </c:extLst>
        </c:ser>
        <c:dLbls>
          <c:showLegendKey val="0"/>
          <c:showVal val="0"/>
          <c:showCatName val="0"/>
          <c:showSerName val="0"/>
          <c:showPercent val="0"/>
          <c:showBubbleSize val="0"/>
        </c:dLbls>
        <c:gapWidth val="132"/>
        <c:overlap val="76"/>
        <c:axId val="1857429391"/>
        <c:axId val="1857429807"/>
      </c:barChart>
      <c:catAx>
        <c:axId val="1857429391"/>
        <c:scaling>
          <c:orientation val="minMax"/>
        </c:scaling>
        <c:delete val="1"/>
        <c:axPos val="l"/>
        <c:numFmt formatCode="General" sourceLinked="1"/>
        <c:majorTickMark val="none"/>
        <c:minorTickMark val="none"/>
        <c:tickLblPos val="nextTo"/>
        <c:crossAx val="1857429807"/>
        <c:crosses val="autoZero"/>
        <c:auto val="1"/>
        <c:lblAlgn val="ctr"/>
        <c:lblOffset val="100"/>
        <c:noMultiLvlLbl val="0"/>
      </c:catAx>
      <c:valAx>
        <c:axId val="1857429807"/>
        <c:scaling>
          <c:orientation val="minMax"/>
        </c:scaling>
        <c:delete val="1"/>
        <c:axPos val="b"/>
        <c:numFmt formatCode="0.00" sourceLinked="1"/>
        <c:majorTickMark val="none"/>
        <c:minorTickMark val="none"/>
        <c:tickLblPos val="nextTo"/>
        <c:crossAx val="18574293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Report!PivotTable2</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Report'!$D$9</c:f>
              <c:strCache>
                <c:ptCount val="1"/>
                <c:pt idx="0">
                  <c:v>Total</c:v>
                </c:pt>
              </c:strCache>
            </c:strRef>
          </c:tx>
          <c:spPr>
            <a:solidFill>
              <a:schemeClr val="accent1"/>
            </a:solidFill>
            <a:ln w="25400">
              <a:noFill/>
            </a:ln>
            <a:effectLst/>
          </c:spPr>
          <c:cat>
            <c:strRef>
              <c:f>'Pivot Report'!$C$10:$C$41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Report'!$D$10:$D$41</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3-7C63-4ACE-904E-8215A72EA718}"/>
            </c:ext>
          </c:extLst>
        </c:ser>
        <c:dLbls>
          <c:showLegendKey val="0"/>
          <c:showVal val="0"/>
          <c:showCatName val="0"/>
          <c:showSerName val="0"/>
          <c:showPercent val="0"/>
          <c:showBubbleSize val="0"/>
        </c:dLbls>
        <c:axId val="165513792"/>
        <c:axId val="165512128"/>
      </c:areaChart>
      <c:catAx>
        <c:axId val="165513792"/>
        <c:scaling>
          <c:orientation val="minMax"/>
        </c:scaling>
        <c:delete val="1"/>
        <c:axPos val="b"/>
        <c:numFmt formatCode="General" sourceLinked="1"/>
        <c:majorTickMark val="out"/>
        <c:minorTickMark val="none"/>
        <c:tickLblPos val="nextTo"/>
        <c:crossAx val="165512128"/>
        <c:crosses val="autoZero"/>
        <c:auto val="1"/>
        <c:lblAlgn val="ctr"/>
        <c:lblOffset val="100"/>
        <c:noMultiLvlLbl val="0"/>
      </c:catAx>
      <c:valAx>
        <c:axId val="165512128"/>
        <c:scaling>
          <c:orientation val="minMax"/>
        </c:scaling>
        <c:delete val="1"/>
        <c:axPos val="l"/>
        <c:numFmt formatCode="General" sourceLinked="1"/>
        <c:majorTickMark val="none"/>
        <c:minorTickMark val="none"/>
        <c:tickLblPos val="nextTo"/>
        <c:crossAx val="16551379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5207878635873836E-2"/>
          <c:y val="1.1371340142880985E-2"/>
          <c:w val="0.9847285249975456"/>
          <c:h val="0.97554394301245206"/>
        </c:manualLayout>
      </c:layout>
      <c:areaChart>
        <c:grouping val="standard"/>
        <c:varyColors val="0"/>
        <c:ser>
          <c:idx val="0"/>
          <c:order val="0"/>
          <c:tx>
            <c:strRef>
              <c:f>'Pivot Report'!$I$9</c:f>
              <c:strCache>
                <c:ptCount val="1"/>
                <c:pt idx="0">
                  <c:v>Total</c:v>
                </c:pt>
              </c:strCache>
            </c:strRef>
          </c:tx>
          <c:spPr>
            <a:solidFill>
              <a:schemeClr val="accent1"/>
            </a:solidFill>
            <a:ln w="25400">
              <a:noFill/>
            </a:ln>
            <a:effectLst/>
          </c:spPr>
          <c:cat>
            <c:strRef>
              <c:f>'Pivot Report'!$H$10:$H$41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Report'!$I$10:$I$41</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3-669D-4DC2-A415-F8D2596BD451}"/>
            </c:ext>
          </c:extLst>
        </c:ser>
        <c:dLbls>
          <c:showLegendKey val="0"/>
          <c:showVal val="0"/>
          <c:showCatName val="0"/>
          <c:showSerName val="0"/>
          <c:showPercent val="0"/>
          <c:showBubbleSize val="0"/>
        </c:dLbls>
        <c:axId val="1121885119"/>
        <c:axId val="1121886783"/>
      </c:areaChart>
      <c:catAx>
        <c:axId val="1121885119"/>
        <c:scaling>
          <c:orientation val="minMax"/>
        </c:scaling>
        <c:delete val="1"/>
        <c:axPos val="b"/>
        <c:numFmt formatCode="General" sourceLinked="1"/>
        <c:majorTickMark val="out"/>
        <c:minorTickMark val="none"/>
        <c:tickLblPos val="nextTo"/>
        <c:crossAx val="1121886783"/>
        <c:crosses val="autoZero"/>
        <c:auto val="1"/>
        <c:lblAlgn val="ctr"/>
        <c:lblOffset val="100"/>
        <c:noMultiLvlLbl val="0"/>
      </c:catAx>
      <c:valAx>
        <c:axId val="1121886783"/>
        <c:scaling>
          <c:orientation val="minMax"/>
        </c:scaling>
        <c:delete val="1"/>
        <c:axPos val="l"/>
        <c:numFmt formatCode="0.00" sourceLinked="1"/>
        <c:majorTickMark val="none"/>
        <c:minorTickMark val="none"/>
        <c:tickLblPos val="nextTo"/>
        <c:crossAx val="1121885119"/>
        <c:crosses val="autoZero"/>
        <c:crossBetween val="midCat"/>
      </c:valAx>
      <c:spPr>
        <a:noFill/>
        <a:ln w="25400">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Report!PivotTable6</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2334762845212795E-2"/>
          <c:y val="2.6327335972962468E-2"/>
          <c:w val="0.98611111111111116"/>
          <c:h val="0.96759259259259256"/>
        </c:manualLayout>
      </c:layout>
      <c:areaChart>
        <c:grouping val="standard"/>
        <c:varyColors val="0"/>
        <c:ser>
          <c:idx val="0"/>
          <c:order val="0"/>
          <c:tx>
            <c:strRef>
              <c:f>'Pivot Report'!$M$9</c:f>
              <c:strCache>
                <c:ptCount val="1"/>
                <c:pt idx="0">
                  <c:v>Total</c:v>
                </c:pt>
              </c:strCache>
            </c:strRef>
          </c:tx>
          <c:spPr>
            <a:solidFill>
              <a:schemeClr val="accent1"/>
            </a:solidFill>
            <a:ln w="25400">
              <a:noFill/>
            </a:ln>
            <a:effectLst/>
          </c:spPr>
          <c:cat>
            <c:strRef>
              <c:f>'Pivot Report'!$L$10:$L$41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Report'!$M$10:$M$41</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3-2458-461B-8ADE-2F154FF2C0D3}"/>
            </c:ext>
          </c:extLst>
        </c:ser>
        <c:dLbls>
          <c:showLegendKey val="0"/>
          <c:showVal val="0"/>
          <c:showCatName val="0"/>
          <c:showSerName val="0"/>
          <c:showPercent val="0"/>
          <c:showBubbleSize val="0"/>
        </c:dLbls>
        <c:axId val="1869095935"/>
        <c:axId val="1869106335"/>
      </c:areaChart>
      <c:catAx>
        <c:axId val="1869095935"/>
        <c:scaling>
          <c:orientation val="minMax"/>
        </c:scaling>
        <c:delete val="1"/>
        <c:axPos val="b"/>
        <c:numFmt formatCode="General" sourceLinked="1"/>
        <c:majorTickMark val="out"/>
        <c:minorTickMark val="none"/>
        <c:tickLblPos val="nextTo"/>
        <c:crossAx val="1869106335"/>
        <c:crosses val="autoZero"/>
        <c:auto val="1"/>
        <c:lblAlgn val="ctr"/>
        <c:lblOffset val="100"/>
        <c:noMultiLvlLbl val="0"/>
      </c:catAx>
      <c:valAx>
        <c:axId val="1869106335"/>
        <c:scaling>
          <c:orientation val="minMax"/>
        </c:scaling>
        <c:delete val="1"/>
        <c:axPos val="l"/>
        <c:numFmt formatCode="0.00" sourceLinked="1"/>
        <c:majorTickMark val="none"/>
        <c:minorTickMark val="none"/>
        <c:tickLblPos val="nextTo"/>
        <c:crossAx val="1869095935"/>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Report!PivotTable8</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Report'!$B$54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Report'!$A$55:$A$63</c:f>
              <c:strCache>
                <c:ptCount val="8"/>
                <c:pt idx="0">
                  <c:v>0-9</c:v>
                </c:pt>
                <c:pt idx="1">
                  <c:v>10-19</c:v>
                </c:pt>
                <c:pt idx="2">
                  <c:v>20-29</c:v>
                </c:pt>
                <c:pt idx="3">
                  <c:v>30-39</c:v>
                </c:pt>
                <c:pt idx="4">
                  <c:v>40-49</c:v>
                </c:pt>
                <c:pt idx="5">
                  <c:v>50-59</c:v>
                </c:pt>
                <c:pt idx="6">
                  <c:v>60-69</c:v>
                </c:pt>
                <c:pt idx="7">
                  <c:v>70-79</c:v>
                </c:pt>
              </c:strCache>
            </c:strRef>
          </c:cat>
          <c:val>
            <c:numRef>
              <c:f>'Pivot Report'!$B$55:$B$63</c:f>
              <c:numCache>
                <c:formatCode>0.00</c:formatCode>
                <c:ptCount val="8"/>
                <c:pt idx="0">
                  <c:v>73</c:v>
                </c:pt>
                <c:pt idx="1">
                  <c:v>64</c:v>
                </c:pt>
                <c:pt idx="2">
                  <c:v>74</c:v>
                </c:pt>
                <c:pt idx="3">
                  <c:v>71</c:v>
                </c:pt>
                <c:pt idx="4">
                  <c:v>58</c:v>
                </c:pt>
                <c:pt idx="5">
                  <c:v>68</c:v>
                </c:pt>
                <c:pt idx="6">
                  <c:v>62</c:v>
                </c:pt>
                <c:pt idx="7">
                  <c:v>49</c:v>
                </c:pt>
              </c:numCache>
            </c:numRef>
          </c:val>
          <c:extLst>
            <c:ext xmlns:c16="http://schemas.microsoft.com/office/drawing/2014/chart" uri="{C3380CC4-5D6E-409C-BE32-E72D297353CC}">
              <c16:uniqueId val="{00000004-4ADE-4747-ADD5-D2CC68D17393}"/>
            </c:ext>
          </c:extLst>
        </c:ser>
        <c:dLbls>
          <c:showLegendKey val="0"/>
          <c:showVal val="0"/>
          <c:showCatName val="0"/>
          <c:showSerName val="0"/>
          <c:showPercent val="0"/>
          <c:showBubbleSize val="0"/>
        </c:dLbls>
        <c:gapWidth val="219"/>
        <c:overlap val="-27"/>
        <c:axId val="679876176"/>
        <c:axId val="679877424"/>
      </c:barChart>
      <c:catAx>
        <c:axId val="67987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679877424"/>
        <c:crosses val="autoZero"/>
        <c:auto val="1"/>
        <c:lblAlgn val="ctr"/>
        <c:lblOffset val="100"/>
        <c:noMultiLvlLbl val="0"/>
      </c:catAx>
      <c:valAx>
        <c:axId val="679877424"/>
        <c:scaling>
          <c:orientation val="minMax"/>
        </c:scaling>
        <c:delete val="1"/>
        <c:axPos val="l"/>
        <c:numFmt formatCode="0.00" sourceLinked="1"/>
        <c:majorTickMark val="none"/>
        <c:minorTickMark val="none"/>
        <c:tickLblPos val="nextTo"/>
        <c:crossAx val="679876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Report!PivotTable9</c:name>
    <c:fmtId val="4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154457045805783"/>
          <c:y val="0.2156881464656081"/>
          <c:w val="0.65215489027755069"/>
          <c:h val="0.82762344692547596"/>
        </c:manualLayout>
      </c:layout>
      <c:pieChart>
        <c:varyColors val="1"/>
        <c:ser>
          <c:idx val="0"/>
          <c:order val="0"/>
          <c:tx>
            <c:strRef>
              <c:f>'Pivot Report'!$E$54</c:f>
              <c:strCache>
                <c:ptCount val="1"/>
                <c:pt idx="0">
                  <c:v>Total</c:v>
                </c:pt>
              </c:strCache>
            </c:strRef>
          </c:tx>
          <c:spPr>
            <a:effectLst/>
          </c:spPr>
          <c:dPt>
            <c:idx val="0"/>
            <c:bubble3D val="0"/>
            <c:spPr>
              <a:solidFill>
                <a:schemeClr val="accent1"/>
              </a:solidFill>
              <a:ln>
                <a:noFill/>
              </a:ln>
              <a:effectLst/>
            </c:spPr>
          </c:dPt>
          <c:dPt>
            <c:idx val="1"/>
            <c:bubble3D val="0"/>
            <c:spPr>
              <a:solidFill>
                <a:schemeClr val="accent2"/>
              </a:solidFill>
              <a:ln>
                <a:noFill/>
              </a:ln>
              <a:effectLst/>
            </c:spPr>
          </c:dPt>
          <c:dLbls>
            <c:dLbl>
              <c:idx val="0"/>
              <c:dLblPos val="inEnd"/>
              <c:showLegendKey val="0"/>
              <c:showVal val="0"/>
              <c:showCatName val="0"/>
              <c:showSerName val="0"/>
              <c:showPercent val="1"/>
              <c:showBubbleSize val="0"/>
              <c:extLst>
                <c:ext xmlns:c15="http://schemas.microsoft.com/office/drawing/2012/chart" uri="{CE6537A1-D6FC-4f65-9D91-7224C49458BB}"/>
              </c:extLst>
            </c:dLbl>
            <c:dLbl>
              <c:idx val="1"/>
              <c:dLblPos val="inEnd"/>
              <c:showLegendKey val="0"/>
              <c:showVal val="0"/>
              <c:showCatName val="0"/>
              <c:showSerName val="0"/>
              <c:showPercent val="1"/>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1"/>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Report'!$D$55:$D$57</c:f>
              <c:strCache>
                <c:ptCount val="2"/>
                <c:pt idx="0">
                  <c:v>Delay</c:v>
                </c:pt>
                <c:pt idx="1">
                  <c:v>Ontime</c:v>
                </c:pt>
              </c:strCache>
            </c:strRef>
          </c:cat>
          <c:val>
            <c:numRef>
              <c:f>'Pivot Report'!$E$55:$E$57</c:f>
              <c:numCache>
                <c:formatCode>0</c:formatCode>
                <c:ptCount val="2"/>
                <c:pt idx="0">
                  <c:v>324</c:v>
                </c:pt>
                <c:pt idx="1">
                  <c:v>195</c:v>
                </c:pt>
              </c:numCache>
            </c:numRef>
          </c:val>
          <c:extLst>
            <c:ext xmlns:c16="http://schemas.microsoft.com/office/drawing/2014/chart" uri="{C3380CC4-5D6E-409C-BE32-E72D297353CC}">
              <c16:uniqueId val="{00000008-6F24-4CD3-A0D5-B03FE0196F2A}"/>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7.4355660305633689E-2"/>
          <c:y val="3.660524068541935E-2"/>
          <c:w val="0.90119359951965239"/>
          <c:h val="0.22989329378668949"/>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Report!PivotTable13</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015300978504712"/>
          <c:y val="8.4007791016037253E-2"/>
          <c:w val="0.58321266746044931"/>
          <c:h val="0.78131274651355642"/>
        </c:manualLayout>
      </c:layout>
      <c:barChart>
        <c:barDir val="bar"/>
        <c:grouping val="clustered"/>
        <c:varyColors val="0"/>
        <c:ser>
          <c:idx val="0"/>
          <c:order val="0"/>
          <c:tx>
            <c:strRef>
              <c:f>'Pivot Report'!$E$60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Report'!$D$61:$D$69</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Report'!$E$61:$E$69</c:f>
              <c:numCache>
                <c:formatCode>0.00</c:formatCode>
                <c:ptCount val="8"/>
                <c:pt idx="0">
                  <c:v>11</c:v>
                </c:pt>
                <c:pt idx="1">
                  <c:v>8</c:v>
                </c:pt>
                <c:pt idx="2">
                  <c:v>102</c:v>
                </c:pt>
                <c:pt idx="3">
                  <c:v>16</c:v>
                </c:pt>
                <c:pt idx="4">
                  <c:v>313</c:v>
                </c:pt>
                <c:pt idx="5">
                  <c:v>51</c:v>
                </c:pt>
                <c:pt idx="6">
                  <c:v>15</c:v>
                </c:pt>
                <c:pt idx="7">
                  <c:v>3</c:v>
                </c:pt>
              </c:numCache>
            </c:numRef>
          </c:val>
          <c:extLst>
            <c:ext xmlns:c16="http://schemas.microsoft.com/office/drawing/2014/chart" uri="{C3380CC4-5D6E-409C-BE32-E72D297353CC}">
              <c16:uniqueId val="{00000004-4BEC-4C16-9CA1-A6CEDB323285}"/>
            </c:ext>
          </c:extLst>
        </c:ser>
        <c:dLbls>
          <c:showLegendKey val="0"/>
          <c:showVal val="0"/>
          <c:showCatName val="0"/>
          <c:showSerName val="0"/>
          <c:showPercent val="0"/>
          <c:showBubbleSize val="0"/>
        </c:dLbls>
        <c:gapWidth val="83"/>
        <c:axId val="1658209584"/>
        <c:axId val="1658210832"/>
      </c:barChart>
      <c:catAx>
        <c:axId val="1658209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58210832"/>
        <c:crosses val="autoZero"/>
        <c:auto val="1"/>
        <c:lblAlgn val="ctr"/>
        <c:lblOffset val="100"/>
        <c:noMultiLvlLbl val="0"/>
      </c:catAx>
      <c:valAx>
        <c:axId val="1658210832"/>
        <c:scaling>
          <c:orientation val="minMax"/>
        </c:scaling>
        <c:delete val="1"/>
        <c:axPos val="b"/>
        <c:numFmt formatCode="0.00" sourceLinked="1"/>
        <c:majorTickMark val="none"/>
        <c:minorTickMark val="none"/>
        <c:tickLblPos val="nextTo"/>
        <c:crossAx val="1658209584"/>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Report!PivotTable2</c:name>
    <c:fmtId val="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2020448103999878E-2"/>
          <c:y val="2.0083968046803412E-2"/>
          <c:w val="0.94581670731274492"/>
          <c:h val="0.87655398827936504"/>
        </c:manualLayout>
      </c:layout>
      <c:areaChart>
        <c:grouping val="standard"/>
        <c:varyColors val="0"/>
        <c:ser>
          <c:idx val="0"/>
          <c:order val="0"/>
          <c:tx>
            <c:strRef>
              <c:f>'Pivot Report'!$D$9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Report'!$C$10:$C$41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Report'!$D$10:$D$41</c:f>
              <c:numCache>
                <c:formatCode>General</c:formatCode>
                <c:ptCount val="31"/>
                <c:pt idx="0">
                  <c:v>14</c:v>
                </c:pt>
                <c:pt idx="1">
                  <c:v>21</c:v>
                </c:pt>
                <c:pt idx="2">
                  <c:v>21</c:v>
                </c:pt>
                <c:pt idx="3">
                  <c:v>15</c:v>
                </c:pt>
                <c:pt idx="4">
                  <c:v>11</c:v>
                </c:pt>
                <c:pt idx="5">
                  <c:v>17</c:v>
                </c:pt>
                <c:pt idx="6">
                  <c:v>15</c:v>
                </c:pt>
                <c:pt idx="7">
                  <c:v>17</c:v>
                </c:pt>
                <c:pt idx="8">
                  <c:v>13</c:v>
                </c:pt>
                <c:pt idx="9">
                  <c:v>24</c:v>
                </c:pt>
                <c:pt idx="10">
                  <c:v>13</c:v>
                </c:pt>
                <c:pt idx="11">
                  <c:v>14</c:v>
                </c:pt>
                <c:pt idx="12">
                  <c:v>12</c:v>
                </c:pt>
                <c:pt idx="13">
                  <c:v>11</c:v>
                </c:pt>
                <c:pt idx="14">
                  <c:v>16</c:v>
                </c:pt>
                <c:pt idx="15">
                  <c:v>20</c:v>
                </c:pt>
                <c:pt idx="16">
                  <c:v>15</c:v>
                </c:pt>
                <c:pt idx="17">
                  <c:v>19</c:v>
                </c:pt>
                <c:pt idx="18">
                  <c:v>16</c:v>
                </c:pt>
                <c:pt idx="19">
                  <c:v>17</c:v>
                </c:pt>
                <c:pt idx="20">
                  <c:v>28</c:v>
                </c:pt>
                <c:pt idx="21">
                  <c:v>22</c:v>
                </c:pt>
                <c:pt idx="22">
                  <c:v>20</c:v>
                </c:pt>
                <c:pt idx="23">
                  <c:v>17</c:v>
                </c:pt>
                <c:pt idx="24">
                  <c:v>18</c:v>
                </c:pt>
                <c:pt idx="25">
                  <c:v>13</c:v>
                </c:pt>
                <c:pt idx="26">
                  <c:v>13</c:v>
                </c:pt>
                <c:pt idx="27">
                  <c:v>13</c:v>
                </c:pt>
                <c:pt idx="28">
                  <c:v>20</c:v>
                </c:pt>
                <c:pt idx="29">
                  <c:v>15</c:v>
                </c:pt>
                <c:pt idx="30">
                  <c:v>19</c:v>
                </c:pt>
              </c:numCache>
            </c:numRef>
          </c:val>
          <c:extLst>
            <c:ext xmlns:c16="http://schemas.microsoft.com/office/drawing/2014/chart" uri="{C3380CC4-5D6E-409C-BE32-E72D297353CC}">
              <c16:uniqueId val="{00000003-D8D0-4D88-8E55-B0CB72C181A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874306096"/>
        <c:axId val="874311088"/>
      </c:areaChart>
      <c:catAx>
        <c:axId val="874306096"/>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74311088"/>
        <c:crosses val="autoZero"/>
        <c:auto val="1"/>
        <c:lblAlgn val="ctr"/>
        <c:lblOffset val="100"/>
        <c:noMultiLvlLbl val="0"/>
      </c:catAx>
      <c:valAx>
        <c:axId val="874311088"/>
        <c:scaling>
          <c:orientation val="minMax"/>
        </c:scaling>
        <c:delete val="1"/>
        <c:axPos val="l"/>
        <c:numFmt formatCode="General" sourceLinked="1"/>
        <c:majorTickMark val="out"/>
        <c:minorTickMark val="none"/>
        <c:tickLblPos val="nextTo"/>
        <c:crossAx val="874306096"/>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Report!PivotTable5</c:name>
    <c:fmtId val="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Report'!$I$9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Report'!$H$10:$H$41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Report'!$I$10:$I$41</c:f>
              <c:numCache>
                <c:formatCode>0.00</c:formatCode>
                <c:ptCount val="31"/>
                <c:pt idx="0">
                  <c:v>35.642857142857146</c:v>
                </c:pt>
                <c:pt idx="1">
                  <c:v>27</c:v>
                </c:pt>
                <c:pt idx="2">
                  <c:v>36.047619047619051</c:v>
                </c:pt>
                <c:pt idx="3">
                  <c:v>38.866666666666667</c:v>
                </c:pt>
                <c:pt idx="4">
                  <c:v>35.909090909090907</c:v>
                </c:pt>
                <c:pt idx="5">
                  <c:v>38.470588235294116</c:v>
                </c:pt>
                <c:pt idx="6">
                  <c:v>36.733333333333334</c:v>
                </c:pt>
                <c:pt idx="7">
                  <c:v>34.588235294117645</c:v>
                </c:pt>
                <c:pt idx="8">
                  <c:v>37.53846153846154</c:v>
                </c:pt>
                <c:pt idx="9">
                  <c:v>31.708333333333332</c:v>
                </c:pt>
                <c:pt idx="10">
                  <c:v>28.923076923076923</c:v>
                </c:pt>
                <c:pt idx="11">
                  <c:v>42.071428571428569</c:v>
                </c:pt>
                <c:pt idx="12">
                  <c:v>35.833333333333336</c:v>
                </c:pt>
                <c:pt idx="13">
                  <c:v>28.727272727272727</c:v>
                </c:pt>
                <c:pt idx="14">
                  <c:v>35.75</c:v>
                </c:pt>
                <c:pt idx="15">
                  <c:v>34.75</c:v>
                </c:pt>
                <c:pt idx="16">
                  <c:v>37.666666666666664</c:v>
                </c:pt>
                <c:pt idx="17">
                  <c:v>40.421052631578945</c:v>
                </c:pt>
                <c:pt idx="18">
                  <c:v>33.75</c:v>
                </c:pt>
                <c:pt idx="19">
                  <c:v>32.764705882352942</c:v>
                </c:pt>
                <c:pt idx="20">
                  <c:v>37.357142857142854</c:v>
                </c:pt>
                <c:pt idx="21">
                  <c:v>37.227272727272727</c:v>
                </c:pt>
                <c:pt idx="22">
                  <c:v>36.700000000000003</c:v>
                </c:pt>
                <c:pt idx="23">
                  <c:v>43.058823529411768</c:v>
                </c:pt>
                <c:pt idx="24">
                  <c:v>39.777777777777779</c:v>
                </c:pt>
                <c:pt idx="25">
                  <c:v>40.692307692307693</c:v>
                </c:pt>
                <c:pt idx="26">
                  <c:v>34.46153846153846</c:v>
                </c:pt>
                <c:pt idx="27">
                  <c:v>30.307692307692307</c:v>
                </c:pt>
                <c:pt idx="28">
                  <c:v>38.5</c:v>
                </c:pt>
                <c:pt idx="29">
                  <c:v>35.333333333333336</c:v>
                </c:pt>
                <c:pt idx="30">
                  <c:v>32.421052631578945</c:v>
                </c:pt>
              </c:numCache>
            </c:numRef>
          </c:val>
          <c:extLst>
            <c:ext xmlns:c16="http://schemas.microsoft.com/office/drawing/2014/chart" uri="{C3380CC4-5D6E-409C-BE32-E72D297353CC}">
              <c16:uniqueId val="{00000003-1AC3-46A5-AB59-935D0A6D43CE}"/>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21885119"/>
        <c:axId val="1121886783"/>
      </c:areaChart>
      <c:catAx>
        <c:axId val="1121885119"/>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21886783"/>
        <c:crosses val="autoZero"/>
        <c:auto val="1"/>
        <c:lblAlgn val="ctr"/>
        <c:lblOffset val="100"/>
        <c:noMultiLvlLbl val="0"/>
      </c:catAx>
      <c:valAx>
        <c:axId val="1121886783"/>
        <c:scaling>
          <c:orientation val="minMax"/>
        </c:scaling>
        <c:delete val="1"/>
        <c:axPos val="l"/>
        <c:numFmt formatCode="0.00" sourceLinked="1"/>
        <c:majorTickMark val="out"/>
        <c:minorTickMark val="none"/>
        <c:tickLblPos val="nextTo"/>
        <c:crossAx val="1121885119"/>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[Hospital_Management_Dashboard.xlsx]Pivot Report!PivotTable6</c:name>
    <c:fmtId val="2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Report'!$M$9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Report'!$L$10:$L$41</c:f>
              <c:strCache>
                <c:ptCount val="31"/>
                <c:pt idx="0">
                  <c:v>1-May</c:v>
                </c:pt>
                <c:pt idx="1">
                  <c:v>2-May</c:v>
                </c:pt>
                <c:pt idx="2">
                  <c:v>3-May</c:v>
                </c:pt>
                <c:pt idx="3">
                  <c:v>4-May</c:v>
                </c:pt>
                <c:pt idx="4">
                  <c:v>5-May</c:v>
                </c:pt>
                <c:pt idx="5">
                  <c:v>6-May</c:v>
                </c:pt>
                <c:pt idx="6">
                  <c:v>7-May</c:v>
                </c:pt>
                <c:pt idx="7">
                  <c:v>8-May</c:v>
                </c:pt>
                <c:pt idx="8">
                  <c:v>9-May</c:v>
                </c:pt>
                <c:pt idx="9">
                  <c:v>10-May</c:v>
                </c:pt>
                <c:pt idx="10">
                  <c:v>11-May</c:v>
                </c:pt>
                <c:pt idx="11">
                  <c:v>12-May</c:v>
                </c:pt>
                <c:pt idx="12">
                  <c:v>13-May</c:v>
                </c:pt>
                <c:pt idx="13">
                  <c:v>14-May</c:v>
                </c:pt>
                <c:pt idx="14">
                  <c:v>15-May</c:v>
                </c:pt>
                <c:pt idx="15">
                  <c:v>16-May</c:v>
                </c:pt>
                <c:pt idx="16">
                  <c:v>17-May</c:v>
                </c:pt>
                <c:pt idx="17">
                  <c:v>18-May</c:v>
                </c:pt>
                <c:pt idx="18">
                  <c:v>19-May</c:v>
                </c:pt>
                <c:pt idx="19">
                  <c:v>20-May</c:v>
                </c:pt>
                <c:pt idx="20">
                  <c:v>21-May</c:v>
                </c:pt>
                <c:pt idx="21">
                  <c:v>22-May</c:v>
                </c:pt>
                <c:pt idx="22">
                  <c:v>23-May</c:v>
                </c:pt>
                <c:pt idx="23">
                  <c:v>24-May</c:v>
                </c:pt>
                <c:pt idx="24">
                  <c:v>25-May</c:v>
                </c:pt>
                <c:pt idx="25">
                  <c:v>26-May</c:v>
                </c:pt>
                <c:pt idx="26">
                  <c:v>27-May</c:v>
                </c:pt>
                <c:pt idx="27">
                  <c:v>28-May</c:v>
                </c:pt>
                <c:pt idx="28">
                  <c:v>29-May</c:v>
                </c:pt>
                <c:pt idx="29">
                  <c:v>30-May</c:v>
                </c:pt>
                <c:pt idx="30">
                  <c:v>31-May</c:v>
                </c:pt>
              </c:strCache>
            </c:strRef>
          </c:cat>
          <c:val>
            <c:numRef>
              <c:f>'Pivot Report'!$M$10:$M$41</c:f>
              <c:numCache>
                <c:formatCode>0.00</c:formatCode>
                <c:ptCount val="31"/>
                <c:pt idx="0">
                  <c:v>7.4</c:v>
                </c:pt>
                <c:pt idx="1">
                  <c:v>5.6</c:v>
                </c:pt>
                <c:pt idx="2">
                  <c:v>6.7142857142857144</c:v>
                </c:pt>
                <c:pt idx="3">
                  <c:v>6</c:v>
                </c:pt>
                <c:pt idx="4">
                  <c:v>4</c:v>
                </c:pt>
                <c:pt idx="5">
                  <c:v>4.7142857142857144</c:v>
                </c:pt>
                <c:pt idx="6">
                  <c:v>1.8</c:v>
                </c:pt>
                <c:pt idx="7">
                  <c:v>4.833333333333333</c:v>
                </c:pt>
                <c:pt idx="8">
                  <c:v>4.25</c:v>
                </c:pt>
                <c:pt idx="9">
                  <c:v>4.5999999999999996</c:v>
                </c:pt>
                <c:pt idx="10">
                  <c:v>6.5</c:v>
                </c:pt>
                <c:pt idx="11">
                  <c:v>5</c:v>
                </c:pt>
                <c:pt idx="12">
                  <c:v>6</c:v>
                </c:pt>
                <c:pt idx="13">
                  <c:v>4.7142857142857144</c:v>
                </c:pt>
                <c:pt idx="14">
                  <c:v>4.2</c:v>
                </c:pt>
                <c:pt idx="15">
                  <c:v>7.2</c:v>
                </c:pt>
                <c:pt idx="16">
                  <c:v>4.333333333333333</c:v>
                </c:pt>
                <c:pt idx="17">
                  <c:v>3.7777777777777777</c:v>
                </c:pt>
                <c:pt idx="18">
                  <c:v>3.6666666666666665</c:v>
                </c:pt>
                <c:pt idx="19">
                  <c:v>4</c:v>
                </c:pt>
                <c:pt idx="20">
                  <c:v>5.833333333333333</c:v>
                </c:pt>
                <c:pt idx="21">
                  <c:v>5.666666666666667</c:v>
                </c:pt>
                <c:pt idx="22">
                  <c:v>5.5</c:v>
                </c:pt>
                <c:pt idx="23">
                  <c:v>5.5</c:v>
                </c:pt>
                <c:pt idx="24">
                  <c:v>7</c:v>
                </c:pt>
                <c:pt idx="25">
                  <c:v>7</c:v>
                </c:pt>
                <c:pt idx="26">
                  <c:v>4</c:v>
                </c:pt>
                <c:pt idx="27">
                  <c:v>4.4444444444444446</c:v>
                </c:pt>
                <c:pt idx="28">
                  <c:v>4.8571428571428568</c:v>
                </c:pt>
                <c:pt idx="29">
                  <c:v>5.5714285714285712</c:v>
                </c:pt>
                <c:pt idx="30">
                  <c:v>6</c:v>
                </c:pt>
              </c:numCache>
            </c:numRef>
          </c:val>
          <c:extLst>
            <c:ext xmlns:c16="http://schemas.microsoft.com/office/drawing/2014/chart" uri="{C3380CC4-5D6E-409C-BE32-E72D297353CC}">
              <c16:uniqueId val="{00000003-7C62-40F8-8BD7-D79ADB389F4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930551471"/>
        <c:axId val="1930566031"/>
      </c:areaChart>
      <c:catAx>
        <c:axId val="193055147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930566031"/>
        <c:crosses val="autoZero"/>
        <c:auto val="1"/>
        <c:lblAlgn val="ctr"/>
        <c:lblOffset val="100"/>
        <c:noMultiLvlLbl val="0"/>
      </c:catAx>
      <c:valAx>
        <c:axId val="1930566031"/>
        <c:scaling>
          <c:orientation val="minMax"/>
        </c:scaling>
        <c:delete val="1"/>
        <c:axPos val="l"/>
        <c:numFmt formatCode="0.00" sourceLinked="1"/>
        <c:majorTickMark val="out"/>
        <c:minorTickMark val="none"/>
        <c:tickLblPos val="nextTo"/>
        <c:crossAx val="193055147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image" Target="../media/image2.emf"/><Relationship Id="rId13" Type="http://schemas.openxmlformats.org/officeDocument/2006/relationships/image" Target="../media/image4.svg"/><Relationship Id="rId3" Type="http://schemas.openxmlformats.org/officeDocument/2006/relationships/chart" Target="../charts/chart2.xml"/><Relationship Id="rId7" Type="http://schemas.openxmlformats.org/officeDocument/2006/relationships/chart" Target="../charts/chart4.xml"/><Relationship Id="rId12" Type="http://schemas.openxmlformats.org/officeDocument/2006/relationships/image" Target="../media/image3.png"/><Relationship Id="rId17" Type="http://schemas.openxmlformats.org/officeDocument/2006/relationships/image" Target="../media/image8.svg"/><Relationship Id="rId2" Type="http://schemas.openxmlformats.org/officeDocument/2006/relationships/hyperlink" Target="#'No of Patients (ER)'!A1"/><Relationship Id="rId16" Type="http://schemas.openxmlformats.org/officeDocument/2006/relationships/image" Target="../media/image7.png"/><Relationship Id="rId1" Type="http://schemas.openxmlformats.org/officeDocument/2006/relationships/image" Target="../media/image1.png"/><Relationship Id="rId6" Type="http://schemas.openxmlformats.org/officeDocument/2006/relationships/hyperlink" Target="#'Satisfaction Score'!A1"/><Relationship Id="rId11" Type="http://schemas.openxmlformats.org/officeDocument/2006/relationships/chart" Target="../charts/chart7.xml"/><Relationship Id="rId5" Type="http://schemas.openxmlformats.org/officeDocument/2006/relationships/chart" Target="../charts/chart3.xml"/><Relationship Id="rId15" Type="http://schemas.openxmlformats.org/officeDocument/2006/relationships/image" Target="../media/image6.svg"/><Relationship Id="rId10" Type="http://schemas.openxmlformats.org/officeDocument/2006/relationships/chart" Target="../charts/chart6.xml"/><Relationship Id="rId4" Type="http://schemas.openxmlformats.org/officeDocument/2006/relationships/hyperlink" Target="#'Average Wait Time (Daily Trend)'!A1"/><Relationship Id="rId9" Type="http://schemas.openxmlformats.org/officeDocument/2006/relationships/chart" Target="../charts/chart5.xml"/><Relationship Id="rId1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absolute">
    <xdr:from>
      <xdr:col>3</xdr:col>
      <xdr:colOff>153867</xdr:colOff>
      <xdr:row>48</xdr:row>
      <xdr:rowOff>175846</xdr:rowOff>
    </xdr:from>
    <xdr:to>
      <xdr:col>4</xdr:col>
      <xdr:colOff>131886</xdr:colOff>
      <xdr:row>50</xdr:row>
      <xdr:rowOff>212481</xdr:rowOff>
    </xdr:to>
    <xdr:graphicFrame macro="">
      <xdr:nvGraphicFramePr>
        <xdr:cNvPr id="5" name="Chart 4">
          <a:extLst>
            <a:ext uri="{FF2B5EF4-FFF2-40B4-BE49-F238E27FC236}">
              <a16:creationId xmlns:a16="http://schemas.microsoft.com/office/drawing/2014/main" id="{529DD460-F104-4E9E-AD98-38DDA608A1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91587</xdr:colOff>
      <xdr:row>0</xdr:row>
      <xdr:rowOff>91222</xdr:rowOff>
    </xdr:from>
    <xdr:to>
      <xdr:col>8</xdr:col>
      <xdr:colOff>227903</xdr:colOff>
      <xdr:row>4</xdr:row>
      <xdr:rowOff>4491</xdr:rowOff>
    </xdr:to>
    <xdr:sp macro="" textlink="">
      <xdr:nvSpPr>
        <xdr:cNvPr id="2" name="Rectangle: Rounded Corners 1">
          <a:extLst>
            <a:ext uri="{FF2B5EF4-FFF2-40B4-BE49-F238E27FC236}">
              <a16:creationId xmlns:a16="http://schemas.microsoft.com/office/drawing/2014/main" id="{AED224D7-F447-47ED-B179-C450515D4677}"/>
            </a:ext>
          </a:extLst>
        </xdr:cNvPr>
        <xdr:cNvSpPr/>
      </xdr:nvSpPr>
      <xdr:spPr>
        <a:xfrm>
          <a:off x="91587" y="91222"/>
          <a:ext cx="5025187" cy="637546"/>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341008</xdr:colOff>
      <xdr:row>0</xdr:row>
      <xdr:rowOff>90888</xdr:rowOff>
    </xdr:from>
    <xdr:to>
      <xdr:col>10</xdr:col>
      <xdr:colOff>442819</xdr:colOff>
      <xdr:row>4</xdr:row>
      <xdr:rowOff>30922</xdr:rowOff>
    </xdr:to>
    <xdr:sp macro="" textlink="">
      <xdr:nvSpPr>
        <xdr:cNvPr id="4" name="Rectangle: Rounded Corners 3">
          <a:extLst>
            <a:ext uri="{FF2B5EF4-FFF2-40B4-BE49-F238E27FC236}">
              <a16:creationId xmlns:a16="http://schemas.microsoft.com/office/drawing/2014/main" id="{02360105-3564-4AC6-B5B5-64C87355B282}"/>
            </a:ext>
          </a:extLst>
        </xdr:cNvPr>
        <xdr:cNvSpPr/>
      </xdr:nvSpPr>
      <xdr:spPr>
        <a:xfrm>
          <a:off x="5229879" y="90888"/>
          <a:ext cx="1324029" cy="664311"/>
        </a:xfrm>
        <a:prstGeom prst="roundRect">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10463</xdr:colOff>
      <xdr:row>0</xdr:row>
      <xdr:rowOff>104211</xdr:rowOff>
    </xdr:from>
    <xdr:to>
      <xdr:col>15</xdr:col>
      <xdr:colOff>262527</xdr:colOff>
      <xdr:row>10</xdr:row>
      <xdr:rowOff>39293</xdr:rowOff>
    </xdr:to>
    <xdr:sp macro="" textlink="">
      <xdr:nvSpPr>
        <xdr:cNvPr id="5" name="Rectangle: Rounded Corners 4">
          <a:extLst>
            <a:ext uri="{FF2B5EF4-FFF2-40B4-BE49-F238E27FC236}">
              <a16:creationId xmlns:a16="http://schemas.microsoft.com/office/drawing/2014/main" id="{1D719B29-D39E-4EFF-A203-0E7F27D761AD}"/>
            </a:ext>
          </a:extLst>
        </xdr:cNvPr>
        <xdr:cNvSpPr/>
      </xdr:nvSpPr>
      <xdr:spPr>
        <a:xfrm>
          <a:off x="6732661" y="104211"/>
          <a:ext cx="2696500" cy="1745775"/>
        </a:xfrm>
        <a:prstGeom prst="roundRect">
          <a:avLst>
            <a:gd name="adj" fmla="val 62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111154</xdr:colOff>
      <xdr:row>4</xdr:row>
      <xdr:rowOff>172507</xdr:rowOff>
    </xdr:from>
    <xdr:to>
      <xdr:col>1</xdr:col>
      <xdr:colOff>584862</xdr:colOff>
      <xdr:row>25</xdr:row>
      <xdr:rowOff>168553</xdr:rowOff>
    </xdr:to>
    <xdr:sp macro="" textlink="">
      <xdr:nvSpPr>
        <xdr:cNvPr id="7" name="Rectangle: Rounded Corners 6">
          <a:extLst>
            <a:ext uri="{FF2B5EF4-FFF2-40B4-BE49-F238E27FC236}">
              <a16:creationId xmlns:a16="http://schemas.microsoft.com/office/drawing/2014/main" id="{DC76C8D9-E0F8-4FC8-A174-31CA33294166}"/>
            </a:ext>
          </a:extLst>
        </xdr:cNvPr>
        <xdr:cNvSpPr/>
      </xdr:nvSpPr>
      <xdr:spPr>
        <a:xfrm>
          <a:off x="111154" y="896784"/>
          <a:ext cx="1084817" cy="3798502"/>
        </a:xfrm>
        <a:prstGeom prst="roundRect">
          <a:avLst>
            <a:gd name="adj" fmla="val 62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164352</xdr:colOff>
      <xdr:row>15</xdr:row>
      <xdr:rowOff>164718</xdr:rowOff>
    </xdr:from>
    <xdr:to>
      <xdr:col>10</xdr:col>
      <xdr:colOff>523705</xdr:colOff>
      <xdr:row>25</xdr:row>
      <xdr:rowOff>119446</xdr:rowOff>
    </xdr:to>
    <xdr:sp macro="" textlink="">
      <xdr:nvSpPr>
        <xdr:cNvPr id="11" name="Rectangle: Rounded Corners 10">
          <a:extLst>
            <a:ext uri="{FF2B5EF4-FFF2-40B4-BE49-F238E27FC236}">
              <a16:creationId xmlns:a16="http://schemas.microsoft.com/office/drawing/2014/main" id="{F1775E6C-E132-4AD9-AB54-2D8DE045F2AE}"/>
            </a:ext>
          </a:extLst>
        </xdr:cNvPr>
        <xdr:cNvSpPr/>
      </xdr:nvSpPr>
      <xdr:spPr>
        <a:xfrm>
          <a:off x="1386570" y="2880758"/>
          <a:ext cx="5248224" cy="1765421"/>
        </a:xfrm>
        <a:prstGeom prst="roundRect">
          <a:avLst>
            <a:gd name="adj" fmla="val 62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164432</xdr:colOff>
      <xdr:row>10</xdr:row>
      <xdr:rowOff>145597</xdr:rowOff>
    </xdr:from>
    <xdr:to>
      <xdr:col>10</xdr:col>
      <xdr:colOff>475173</xdr:colOff>
      <xdr:row>15</xdr:row>
      <xdr:rowOff>76896</xdr:rowOff>
    </xdr:to>
    <xdr:sp macro="" textlink="">
      <xdr:nvSpPr>
        <xdr:cNvPr id="12" name="Rectangle: Rounded Corners 11">
          <a:extLst>
            <a:ext uri="{FF2B5EF4-FFF2-40B4-BE49-F238E27FC236}">
              <a16:creationId xmlns:a16="http://schemas.microsoft.com/office/drawing/2014/main" id="{A693A127-7D86-46D8-8DFF-3BBB3D6C2951}"/>
            </a:ext>
          </a:extLst>
        </xdr:cNvPr>
        <xdr:cNvSpPr/>
      </xdr:nvSpPr>
      <xdr:spPr>
        <a:xfrm>
          <a:off x="1386650" y="1956290"/>
          <a:ext cx="5199612" cy="836646"/>
        </a:xfrm>
        <a:prstGeom prst="roundRect">
          <a:avLst>
            <a:gd name="adj" fmla="val 62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171897</xdr:colOff>
      <xdr:row>4</xdr:row>
      <xdr:rowOff>142330</xdr:rowOff>
    </xdr:from>
    <xdr:to>
      <xdr:col>4</xdr:col>
      <xdr:colOff>573942</xdr:colOff>
      <xdr:row>10</xdr:row>
      <xdr:rowOff>59071</xdr:rowOff>
    </xdr:to>
    <xdr:sp macro="" textlink="">
      <xdr:nvSpPr>
        <xdr:cNvPr id="8" name="Rectangle: Rounded Corners 7">
          <a:extLst>
            <a:ext uri="{FF2B5EF4-FFF2-40B4-BE49-F238E27FC236}">
              <a16:creationId xmlns:a16="http://schemas.microsoft.com/office/drawing/2014/main" id="{DF1C2AB5-C210-4B93-853E-1EF441A74668}"/>
            </a:ext>
          </a:extLst>
        </xdr:cNvPr>
        <xdr:cNvSpPr/>
      </xdr:nvSpPr>
      <xdr:spPr>
        <a:xfrm>
          <a:off x="1394115" y="866607"/>
          <a:ext cx="1624263" cy="1003157"/>
        </a:xfrm>
        <a:prstGeom prst="roundRect">
          <a:avLst>
            <a:gd name="adj" fmla="val 62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93171</xdr:colOff>
      <xdr:row>4</xdr:row>
      <xdr:rowOff>164962</xdr:rowOff>
    </xdr:from>
    <xdr:to>
      <xdr:col>7</xdr:col>
      <xdr:colOff>494332</xdr:colOff>
      <xdr:row>10</xdr:row>
      <xdr:rowOff>81703</xdr:rowOff>
    </xdr:to>
    <xdr:sp macro="" textlink="">
      <xdr:nvSpPr>
        <xdr:cNvPr id="13" name="Rectangle: Rounded Corners 12">
          <a:extLst>
            <a:ext uri="{FF2B5EF4-FFF2-40B4-BE49-F238E27FC236}">
              <a16:creationId xmlns:a16="http://schemas.microsoft.com/office/drawing/2014/main" id="{089C9071-22FB-445C-BE44-BDB2C7D0366A}"/>
            </a:ext>
          </a:extLst>
        </xdr:cNvPr>
        <xdr:cNvSpPr/>
      </xdr:nvSpPr>
      <xdr:spPr>
        <a:xfrm>
          <a:off x="3148716" y="889239"/>
          <a:ext cx="1623378" cy="1003157"/>
        </a:xfrm>
        <a:prstGeom prst="roundRect">
          <a:avLst>
            <a:gd name="adj" fmla="val 62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61276</xdr:colOff>
      <xdr:row>4</xdr:row>
      <xdr:rowOff>172507</xdr:rowOff>
    </xdr:from>
    <xdr:to>
      <xdr:col>10</xdr:col>
      <xdr:colOff>458995</xdr:colOff>
      <xdr:row>10</xdr:row>
      <xdr:rowOff>89248</xdr:rowOff>
    </xdr:to>
    <xdr:sp macro="" textlink="">
      <xdr:nvSpPr>
        <xdr:cNvPr id="14" name="Rectangle: Rounded Corners 13">
          <a:extLst>
            <a:ext uri="{FF2B5EF4-FFF2-40B4-BE49-F238E27FC236}">
              <a16:creationId xmlns:a16="http://schemas.microsoft.com/office/drawing/2014/main" id="{E111AFF7-4EB1-4F00-A3D4-05C385087BF3}"/>
            </a:ext>
          </a:extLst>
        </xdr:cNvPr>
        <xdr:cNvSpPr/>
      </xdr:nvSpPr>
      <xdr:spPr>
        <a:xfrm>
          <a:off x="4950147" y="896784"/>
          <a:ext cx="1619937" cy="1003157"/>
        </a:xfrm>
        <a:prstGeom prst="roundRect">
          <a:avLst>
            <a:gd name="adj" fmla="val 62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10463</xdr:colOff>
      <xdr:row>10</xdr:row>
      <xdr:rowOff>142567</xdr:rowOff>
    </xdr:from>
    <xdr:to>
      <xdr:col>15</xdr:col>
      <xdr:colOff>261118</xdr:colOff>
      <xdr:row>25</xdr:row>
      <xdr:rowOff>135310</xdr:rowOff>
    </xdr:to>
    <xdr:sp macro="" textlink="">
      <xdr:nvSpPr>
        <xdr:cNvPr id="19" name="Rectangle: Rounded Corners 18">
          <a:extLst>
            <a:ext uri="{FF2B5EF4-FFF2-40B4-BE49-F238E27FC236}">
              <a16:creationId xmlns:a16="http://schemas.microsoft.com/office/drawing/2014/main" id="{F97C2A59-E833-433E-9AF5-97B562A55F1A}"/>
            </a:ext>
          </a:extLst>
        </xdr:cNvPr>
        <xdr:cNvSpPr/>
      </xdr:nvSpPr>
      <xdr:spPr>
        <a:xfrm>
          <a:off x="6732661" y="1953260"/>
          <a:ext cx="2695091" cy="2708783"/>
        </a:xfrm>
        <a:prstGeom prst="roundRect">
          <a:avLst>
            <a:gd name="adj" fmla="val 5232"/>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471508</xdr:colOff>
      <xdr:row>0</xdr:row>
      <xdr:rowOff>148309</xdr:rowOff>
    </xdr:from>
    <xdr:to>
      <xdr:col>8</xdr:col>
      <xdr:colOff>84969</xdr:colOff>
      <xdr:row>2</xdr:row>
      <xdr:rowOff>71257</xdr:rowOff>
    </xdr:to>
    <xdr:sp macro="" textlink="">
      <xdr:nvSpPr>
        <xdr:cNvPr id="26" name="TextBox 25">
          <a:extLst>
            <a:ext uri="{FF2B5EF4-FFF2-40B4-BE49-F238E27FC236}">
              <a16:creationId xmlns:a16="http://schemas.microsoft.com/office/drawing/2014/main" id="{189D1BC5-6158-4F10-A855-3E25B5FE25E5}"/>
            </a:ext>
          </a:extLst>
        </xdr:cNvPr>
        <xdr:cNvSpPr txBox="1"/>
      </xdr:nvSpPr>
      <xdr:spPr>
        <a:xfrm>
          <a:off x="1082617" y="148309"/>
          <a:ext cx="3891223" cy="2850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400"/>
            <a:t>Hospital Emergency Room DashBoard</a:t>
          </a:r>
        </a:p>
      </xdr:txBody>
    </xdr:sp>
    <xdr:clientData/>
  </xdr:twoCellAnchor>
  <xdr:twoCellAnchor>
    <xdr:from>
      <xdr:col>0</xdr:col>
      <xdr:colOff>212115</xdr:colOff>
      <xdr:row>0</xdr:row>
      <xdr:rowOff>57372</xdr:rowOff>
    </xdr:from>
    <xdr:to>
      <xdr:col>1</xdr:col>
      <xdr:colOff>420351</xdr:colOff>
      <xdr:row>4</xdr:row>
      <xdr:rowOff>72912</xdr:rowOff>
    </xdr:to>
    <xdr:pic>
      <xdr:nvPicPr>
        <xdr:cNvPr id="28" name="Picture 27">
          <a:extLst>
            <a:ext uri="{FF2B5EF4-FFF2-40B4-BE49-F238E27FC236}">
              <a16:creationId xmlns:a16="http://schemas.microsoft.com/office/drawing/2014/main" id="{1E4BB0E8-996E-4AD6-81B3-F79B2FFE288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7895" t="3390" r="14737"/>
        <a:stretch/>
      </xdr:blipFill>
      <xdr:spPr>
        <a:xfrm>
          <a:off x="212115" y="57372"/>
          <a:ext cx="819345" cy="739817"/>
        </a:xfrm>
        <a:prstGeom prst="rect">
          <a:avLst/>
        </a:prstGeom>
      </xdr:spPr>
    </xdr:pic>
    <xdr:clientData/>
  </xdr:twoCellAnchor>
  <xdr:twoCellAnchor>
    <xdr:from>
      <xdr:col>2</xdr:col>
      <xdr:colOff>141737</xdr:colOff>
      <xdr:row>26</xdr:row>
      <xdr:rowOff>167620</xdr:rowOff>
    </xdr:from>
    <xdr:to>
      <xdr:col>5</xdr:col>
      <xdr:colOff>11043</xdr:colOff>
      <xdr:row>28</xdr:row>
      <xdr:rowOff>129715</xdr:rowOff>
    </xdr:to>
    <xdr:sp macro="" textlink="">
      <xdr:nvSpPr>
        <xdr:cNvPr id="29" name="TextBox 28">
          <a:extLst>
            <a:ext uri="{FF2B5EF4-FFF2-40B4-BE49-F238E27FC236}">
              <a16:creationId xmlns:a16="http://schemas.microsoft.com/office/drawing/2014/main" id="{EE72ED51-5B22-438A-B636-AFAD26150985}"/>
            </a:ext>
          </a:extLst>
        </xdr:cNvPr>
        <xdr:cNvSpPr txBox="1"/>
      </xdr:nvSpPr>
      <xdr:spPr>
        <a:xfrm>
          <a:off x="1363955" y="4875422"/>
          <a:ext cx="1702633" cy="324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endParaRPr lang="en-IN" sz="900"/>
        </a:p>
      </xdr:txBody>
    </xdr:sp>
    <xdr:clientData/>
  </xdr:twoCellAnchor>
  <xdr:twoCellAnchor>
    <xdr:from>
      <xdr:col>2</xdr:col>
      <xdr:colOff>285356</xdr:colOff>
      <xdr:row>5</xdr:row>
      <xdr:rowOff>97334</xdr:rowOff>
    </xdr:from>
    <xdr:to>
      <xdr:col>4</xdr:col>
      <xdr:colOff>433273</xdr:colOff>
      <xdr:row>6</xdr:row>
      <xdr:rowOff>163217</xdr:rowOff>
    </xdr:to>
    <xdr:sp macro="" textlink="'Pivot Report'!A14">
      <xdr:nvSpPr>
        <xdr:cNvPr id="30" name="TextBox 29">
          <a:extLst>
            <a:ext uri="{FF2B5EF4-FFF2-40B4-BE49-F238E27FC236}">
              <a16:creationId xmlns:a16="http://schemas.microsoft.com/office/drawing/2014/main" id="{15566C1F-FF2D-449C-929B-CF0B2C3A1D47}"/>
            </a:ext>
          </a:extLst>
        </xdr:cNvPr>
        <xdr:cNvSpPr txBox="1"/>
      </xdr:nvSpPr>
      <xdr:spPr>
        <a:xfrm>
          <a:off x="1507574" y="1002681"/>
          <a:ext cx="1370135" cy="246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30E3FF-4574-4D39-AB0F-075D8A1DE320}" type="TxLink">
            <a:rPr lang="en-US" sz="1200" b="0" i="0" u="none" strike="noStrike">
              <a:solidFill>
                <a:srgbClr val="000000"/>
              </a:solidFill>
              <a:latin typeface="Calibri"/>
              <a:ea typeface="Calibri"/>
              <a:cs typeface="Calibri"/>
            </a:rPr>
            <a:pPr algn="ctr"/>
            <a:t>519</a:t>
          </a:fld>
          <a:endParaRPr lang="en-US" sz="1200"/>
        </a:p>
      </xdr:txBody>
    </xdr:sp>
    <xdr:clientData/>
  </xdr:twoCellAnchor>
  <xdr:twoCellAnchor>
    <xdr:from>
      <xdr:col>5</xdr:col>
      <xdr:colOff>190084</xdr:colOff>
      <xdr:row>6</xdr:row>
      <xdr:rowOff>145160</xdr:rowOff>
    </xdr:from>
    <xdr:to>
      <xdr:col>7</xdr:col>
      <xdr:colOff>401056</xdr:colOff>
      <xdr:row>8</xdr:row>
      <xdr:rowOff>42010</xdr:rowOff>
    </xdr:to>
    <xdr:sp macro="" textlink="">
      <xdr:nvSpPr>
        <xdr:cNvPr id="35" name="TextBox 34">
          <a:extLst>
            <a:ext uri="{FF2B5EF4-FFF2-40B4-BE49-F238E27FC236}">
              <a16:creationId xmlns:a16="http://schemas.microsoft.com/office/drawing/2014/main" id="{E3C10AAF-C9FA-4904-885E-D79222506D01}"/>
            </a:ext>
          </a:extLst>
        </xdr:cNvPr>
        <xdr:cNvSpPr txBox="1"/>
      </xdr:nvSpPr>
      <xdr:spPr>
        <a:xfrm>
          <a:off x="3245629" y="1231576"/>
          <a:ext cx="1433189" cy="2589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latin typeface="Times New Roman" panose="02020603050405020304" pitchFamily="18" charset="0"/>
              <a:cs typeface="Times New Roman" panose="02020603050405020304" pitchFamily="18" charset="0"/>
            </a:rPr>
            <a:t>Average</a:t>
          </a:r>
          <a:r>
            <a:rPr lang="en-IN" sz="1200"/>
            <a:t> Wait Time</a:t>
          </a:r>
        </a:p>
      </xdr:txBody>
    </xdr:sp>
    <xdr:clientData/>
  </xdr:twoCellAnchor>
  <xdr:twoCellAnchor>
    <xdr:from>
      <xdr:col>5</xdr:col>
      <xdr:colOff>215661</xdr:colOff>
      <xdr:row>5</xdr:row>
      <xdr:rowOff>112423</xdr:rowOff>
    </xdr:from>
    <xdr:to>
      <xdr:col>7</xdr:col>
      <xdr:colOff>362691</xdr:colOff>
      <xdr:row>6</xdr:row>
      <xdr:rowOff>178306</xdr:rowOff>
    </xdr:to>
    <xdr:sp macro="" textlink="'Pivot Report'!A19">
      <xdr:nvSpPr>
        <xdr:cNvPr id="36" name="TextBox 35">
          <a:extLst>
            <a:ext uri="{FF2B5EF4-FFF2-40B4-BE49-F238E27FC236}">
              <a16:creationId xmlns:a16="http://schemas.microsoft.com/office/drawing/2014/main" id="{8BA9558B-EA97-45DB-B72A-AB6E7B3E76B8}"/>
            </a:ext>
          </a:extLst>
        </xdr:cNvPr>
        <xdr:cNvSpPr txBox="1"/>
      </xdr:nvSpPr>
      <xdr:spPr>
        <a:xfrm>
          <a:off x="3271206" y="1017770"/>
          <a:ext cx="1369247" cy="2469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6169D1D-D8C7-47C8-BEC8-6AB6167B53CE}" type="TxLink">
            <a:rPr lang="en-US" sz="1200" b="0" i="0" u="none" strike="noStrike">
              <a:solidFill>
                <a:srgbClr val="000000"/>
              </a:solidFill>
              <a:latin typeface="Calibri"/>
              <a:ea typeface="Calibri"/>
              <a:cs typeface="Calibri"/>
            </a:rPr>
            <a:pPr algn="ctr"/>
            <a:t>35.81</a:t>
          </a:fld>
          <a:endParaRPr lang="en-US" sz="1200"/>
        </a:p>
      </xdr:txBody>
    </xdr:sp>
    <xdr:clientData/>
  </xdr:twoCellAnchor>
  <xdr:twoCellAnchor>
    <xdr:from>
      <xdr:col>8</xdr:col>
      <xdr:colOff>174486</xdr:colOff>
      <xdr:row>6</xdr:row>
      <xdr:rowOff>132170</xdr:rowOff>
    </xdr:from>
    <xdr:to>
      <xdr:col>10</xdr:col>
      <xdr:colOff>321516</xdr:colOff>
      <xdr:row>8</xdr:row>
      <xdr:rowOff>16986</xdr:rowOff>
    </xdr:to>
    <xdr:sp macro="" textlink="">
      <xdr:nvSpPr>
        <xdr:cNvPr id="37" name="TextBox 36">
          <a:extLst>
            <a:ext uri="{FF2B5EF4-FFF2-40B4-BE49-F238E27FC236}">
              <a16:creationId xmlns:a16="http://schemas.microsoft.com/office/drawing/2014/main" id="{95C1C7AA-6EA1-450A-811D-7F2ECE4CB608}"/>
            </a:ext>
          </a:extLst>
        </xdr:cNvPr>
        <xdr:cNvSpPr txBox="1"/>
      </xdr:nvSpPr>
      <xdr:spPr>
        <a:xfrm>
          <a:off x="5063357" y="1218586"/>
          <a:ext cx="1369248" cy="2469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a:latin typeface="Times New Roman" panose="02020603050405020304" pitchFamily="18" charset="0"/>
              <a:cs typeface="Times New Roman" panose="02020603050405020304" pitchFamily="18" charset="0"/>
            </a:rPr>
            <a:t>Satisfaction</a:t>
          </a:r>
          <a:r>
            <a:rPr lang="en-IN" sz="1200" baseline="0">
              <a:latin typeface="Times New Roman" panose="02020603050405020304" pitchFamily="18" charset="0"/>
              <a:cs typeface="Times New Roman" panose="02020603050405020304" pitchFamily="18" charset="0"/>
            </a:rPr>
            <a:t> Score</a:t>
          </a:r>
          <a:endParaRPr lang="en-IN" sz="1200">
            <a:latin typeface="Times New Roman" panose="02020603050405020304" pitchFamily="18" charset="0"/>
            <a:cs typeface="Times New Roman" panose="02020603050405020304" pitchFamily="18" charset="0"/>
          </a:endParaRPr>
        </a:p>
      </xdr:txBody>
    </xdr:sp>
    <xdr:clientData/>
  </xdr:twoCellAnchor>
  <xdr:twoCellAnchor>
    <xdr:from>
      <xdr:col>8</xdr:col>
      <xdr:colOff>166941</xdr:colOff>
      <xdr:row>5</xdr:row>
      <xdr:rowOff>97332</xdr:rowOff>
    </xdr:from>
    <xdr:to>
      <xdr:col>10</xdr:col>
      <xdr:colOff>313971</xdr:colOff>
      <xdr:row>7</xdr:row>
      <xdr:rowOff>7230</xdr:rowOff>
    </xdr:to>
    <xdr:sp macro="" textlink="'Pivot Report'!A23">
      <xdr:nvSpPr>
        <xdr:cNvPr id="38" name="TextBox 37">
          <a:extLst>
            <a:ext uri="{FF2B5EF4-FFF2-40B4-BE49-F238E27FC236}">
              <a16:creationId xmlns:a16="http://schemas.microsoft.com/office/drawing/2014/main" id="{FC2BF5D4-E77C-4BC0-A937-07FF04F21E35}"/>
            </a:ext>
          </a:extLst>
        </xdr:cNvPr>
        <xdr:cNvSpPr txBox="1"/>
      </xdr:nvSpPr>
      <xdr:spPr>
        <a:xfrm>
          <a:off x="5055812" y="1002679"/>
          <a:ext cx="1369248" cy="2720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1A9BDCD-EF23-4866-9538-32C5723F4957}" type="TxLink">
            <a:rPr lang="en-US" sz="1200" b="0" i="0" u="none" strike="noStrike">
              <a:solidFill>
                <a:srgbClr val="000000"/>
              </a:solidFill>
              <a:latin typeface="Calibri"/>
              <a:ea typeface="Calibri"/>
              <a:cs typeface="Calibri"/>
            </a:rPr>
            <a:pPr algn="ctr"/>
            <a:t>5.15</a:t>
          </a:fld>
          <a:endParaRPr lang="en-US" sz="1200"/>
        </a:p>
      </xdr:txBody>
    </xdr:sp>
    <xdr:clientData/>
  </xdr:twoCellAnchor>
  <xdr:twoCellAnchor editAs="absolute">
    <xdr:from>
      <xdr:col>0</xdr:col>
      <xdr:colOff>130139</xdr:colOff>
      <xdr:row>5</xdr:row>
      <xdr:rowOff>15088</xdr:rowOff>
    </xdr:from>
    <xdr:to>
      <xdr:col>1</xdr:col>
      <xdr:colOff>558298</xdr:colOff>
      <xdr:row>25</xdr:row>
      <xdr:rowOff>165979</xdr:rowOff>
    </xdr:to>
    <mc:AlternateContent xmlns:mc="http://schemas.openxmlformats.org/markup-compatibility/2006">
      <mc:Choice xmlns:a14="http://schemas.microsoft.com/office/drawing/2010/main" Requires="a14">
        <xdr:graphicFrame macro="">
          <xdr:nvGraphicFramePr>
            <xdr:cNvPr id="21" name="Date (Month)">
              <a:extLst>
                <a:ext uri="{FF2B5EF4-FFF2-40B4-BE49-F238E27FC236}">
                  <a16:creationId xmlns:a16="http://schemas.microsoft.com/office/drawing/2014/main" id="{74D973A3-EEE4-4AF3-910C-3979286DD66E}"/>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dr:sp macro="" textlink="">
          <xdr:nvSpPr>
            <xdr:cNvPr id="0" name=""/>
            <xdr:cNvSpPr>
              <a:spLocks noTextEdit="1"/>
            </xdr:cNvSpPr>
          </xdr:nvSpPr>
          <xdr:spPr>
            <a:xfrm>
              <a:off x="130139" y="933160"/>
              <a:ext cx="1034087" cy="38231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98080</xdr:colOff>
      <xdr:row>6</xdr:row>
      <xdr:rowOff>156899</xdr:rowOff>
    </xdr:from>
    <xdr:to>
      <xdr:col>5</xdr:col>
      <xdr:colOff>30179</xdr:colOff>
      <xdr:row>10</xdr:row>
      <xdr:rowOff>120713</xdr:rowOff>
    </xdr:to>
    <xdr:graphicFrame macro="">
      <xdr:nvGraphicFramePr>
        <xdr:cNvPr id="22" name="Chart 21">
          <a:hlinkClick xmlns:r="http://schemas.openxmlformats.org/officeDocument/2006/relationships" r:id="rId2"/>
          <a:extLst>
            <a:ext uri="{FF2B5EF4-FFF2-40B4-BE49-F238E27FC236}">
              <a16:creationId xmlns:a16="http://schemas.microsoft.com/office/drawing/2014/main" id="{FED1D4B0-7940-4DD7-B8D0-6F1C576691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150236</xdr:colOff>
      <xdr:row>8</xdr:row>
      <xdr:rowOff>67956</xdr:rowOff>
    </xdr:from>
    <xdr:to>
      <xdr:col>7</xdr:col>
      <xdr:colOff>427187</xdr:colOff>
      <xdr:row>9</xdr:row>
      <xdr:rowOff>179551</xdr:rowOff>
    </xdr:to>
    <xdr:graphicFrame macro="">
      <xdr:nvGraphicFramePr>
        <xdr:cNvPr id="23" name="Chart 22">
          <a:hlinkClick xmlns:r="http://schemas.openxmlformats.org/officeDocument/2006/relationships" r:id="rId4"/>
          <a:extLst>
            <a:ext uri="{FF2B5EF4-FFF2-40B4-BE49-F238E27FC236}">
              <a16:creationId xmlns:a16="http://schemas.microsoft.com/office/drawing/2014/main" id="{6A5218D3-4FF2-40D7-9854-A4D07303C6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102022</xdr:colOff>
      <xdr:row>7</xdr:row>
      <xdr:rowOff>115644</xdr:rowOff>
    </xdr:from>
    <xdr:to>
      <xdr:col>10</xdr:col>
      <xdr:colOff>376932</xdr:colOff>
      <xdr:row>10</xdr:row>
      <xdr:rowOff>3422</xdr:rowOff>
    </xdr:to>
    <xdr:graphicFrame macro="">
      <xdr:nvGraphicFramePr>
        <xdr:cNvPr id="24" name="Chart 23">
          <a:hlinkClick xmlns:r="http://schemas.openxmlformats.org/officeDocument/2006/relationships" r:id="rId6"/>
          <a:extLst>
            <a:ext uri="{FF2B5EF4-FFF2-40B4-BE49-F238E27FC236}">
              <a16:creationId xmlns:a16="http://schemas.microsoft.com/office/drawing/2014/main" id="{81705F0D-EC79-4C19-BBFB-5702D7607D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mc:AlternateContent xmlns:mc="http://schemas.openxmlformats.org/markup-compatibility/2006">
    <mc:Choice xmlns:a14="http://schemas.microsoft.com/office/drawing/2010/main" Requires="a14">
      <xdr:twoCellAnchor>
        <xdr:from>
          <xdr:col>2</xdr:col>
          <xdr:colOff>192895</xdr:colOff>
          <xdr:row>10</xdr:row>
          <xdr:rowOff>158487</xdr:rowOff>
        </xdr:from>
        <xdr:to>
          <xdr:col>10</xdr:col>
          <xdr:colOff>460218</xdr:colOff>
          <xdr:row>15</xdr:row>
          <xdr:rowOff>60609</xdr:rowOff>
        </xdr:to>
        <xdr:pic>
          <xdr:nvPicPr>
            <xdr:cNvPr id="40" name="Picture 39">
              <a:extLst>
                <a:ext uri="{FF2B5EF4-FFF2-40B4-BE49-F238E27FC236}">
                  <a16:creationId xmlns:a16="http://schemas.microsoft.com/office/drawing/2014/main" id="{F2815A5B-F48E-444B-805A-F5352E1F8AF8}"/>
                </a:ext>
              </a:extLst>
            </xdr:cNvPr>
            <xdr:cNvPicPr>
              <a:picLocks noChangeAspect="1" noChangeArrowheads="1"/>
              <a:extLst>
                <a:ext uri="{84589F7E-364E-4C9E-8A38-B11213B215E9}">
                  <a14:cameraTool cellRange="'Pivot Report'!$A$49:$D$51" spid="_x0000_s1048"/>
                </a:ext>
              </a:extLst>
            </xdr:cNvPicPr>
          </xdr:nvPicPr>
          <xdr:blipFill>
            <a:blip xmlns:r="http://schemas.openxmlformats.org/officeDocument/2006/relationships" r:embed="rId8"/>
            <a:srcRect/>
            <a:stretch>
              <a:fillRect/>
            </a:stretch>
          </xdr:blipFill>
          <xdr:spPr bwMode="auto">
            <a:xfrm>
              <a:off x="1415113" y="1969180"/>
              <a:ext cx="5156194" cy="807469"/>
            </a:xfrm>
            <a:prstGeom prst="roundRect">
              <a:avLst>
                <a:gd name="adj" fmla="val 16667"/>
              </a:avLst>
            </a:prstGeom>
            <a:ln>
              <a:noFill/>
            </a:ln>
            <a:effectLst>
              <a:outerShdw blurRad="76200" dist="38100" dir="7800000" algn="tl" rotWithShape="0">
                <a:srgbClr val="000000">
                  <a:alpha val="40000"/>
                </a:srgbClr>
              </a:outerShdw>
            </a:effectLst>
            <a:extLst>
              <a:ext uri="{909E8E84-426E-40DD-AFC4-6F175D3DCCD1}">
                <a14:hiddenFill>
                  <a:solidFill>
                    <a:srgbClr val="FFFFFF"/>
                  </a:solidFill>
                </a14:hiddenFill>
              </a:ext>
            </a:extLst>
          </xdr:spPr>
        </xdr:pic>
        <xdr:clientData/>
      </xdr:twoCellAnchor>
    </mc:Choice>
    <mc:Fallback/>
  </mc:AlternateContent>
  <xdr:twoCellAnchor>
    <xdr:from>
      <xdr:col>2</xdr:col>
      <xdr:colOff>329302</xdr:colOff>
      <xdr:row>15</xdr:row>
      <xdr:rowOff>151081</xdr:rowOff>
    </xdr:from>
    <xdr:to>
      <xdr:col>10</xdr:col>
      <xdr:colOff>359879</xdr:colOff>
      <xdr:row>24</xdr:row>
      <xdr:rowOff>153693</xdr:rowOff>
    </xdr:to>
    <xdr:graphicFrame macro="">
      <xdr:nvGraphicFramePr>
        <xdr:cNvPr id="27" name="Chart 26">
          <a:extLst>
            <a:ext uri="{FF2B5EF4-FFF2-40B4-BE49-F238E27FC236}">
              <a16:creationId xmlns:a16="http://schemas.microsoft.com/office/drawing/2014/main" id="{4D7F44CF-D7C8-4A47-A411-979D59110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4</xdr:col>
      <xdr:colOff>572030</xdr:colOff>
      <xdr:row>24</xdr:row>
      <xdr:rowOff>98333</xdr:rowOff>
    </xdr:from>
    <xdr:to>
      <xdr:col>8</xdr:col>
      <xdr:colOff>165980</xdr:colOff>
      <xdr:row>26</xdr:row>
      <xdr:rowOff>60428</xdr:rowOff>
    </xdr:to>
    <xdr:sp macro="" textlink="">
      <xdr:nvSpPr>
        <xdr:cNvPr id="31" name="TextBox 30">
          <a:extLst>
            <a:ext uri="{FF2B5EF4-FFF2-40B4-BE49-F238E27FC236}">
              <a16:creationId xmlns:a16="http://schemas.microsoft.com/office/drawing/2014/main" id="{09CC6E58-E897-4E5A-9CF9-5A4A94713547}"/>
            </a:ext>
          </a:extLst>
        </xdr:cNvPr>
        <xdr:cNvSpPr txBox="1"/>
      </xdr:nvSpPr>
      <xdr:spPr>
        <a:xfrm>
          <a:off x="3016466" y="4443996"/>
          <a:ext cx="2038385" cy="324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latin typeface="Times New Roman" panose="02020603050405020304" pitchFamily="18" charset="0"/>
              <a:cs typeface="Times New Roman" panose="02020603050405020304" pitchFamily="18" charset="0"/>
            </a:rPr>
            <a:t>No. Of Patients by Age Group</a:t>
          </a:r>
        </a:p>
      </xdr:txBody>
    </xdr:sp>
    <xdr:clientData/>
  </xdr:twoCellAnchor>
  <xdr:twoCellAnchor>
    <xdr:from>
      <xdr:col>10</xdr:col>
      <xdr:colOff>513343</xdr:colOff>
      <xdr:row>0</xdr:row>
      <xdr:rowOff>14075</xdr:rowOff>
    </xdr:from>
    <xdr:to>
      <xdr:col>15</xdr:col>
      <xdr:colOff>269646</xdr:colOff>
      <xdr:row>9</xdr:row>
      <xdr:rowOff>23026</xdr:rowOff>
    </xdr:to>
    <xdr:graphicFrame macro="">
      <xdr:nvGraphicFramePr>
        <xdr:cNvPr id="32" name="Chart 31">
          <a:extLst>
            <a:ext uri="{FF2B5EF4-FFF2-40B4-BE49-F238E27FC236}">
              <a16:creationId xmlns:a16="http://schemas.microsoft.com/office/drawing/2014/main" id="{C3603DDC-8545-4CA0-A84C-2B627049C9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303087</xdr:colOff>
      <xdr:row>6</xdr:row>
      <xdr:rowOff>152707</xdr:rowOff>
    </xdr:from>
    <xdr:to>
      <xdr:col>4</xdr:col>
      <xdr:colOff>431491</xdr:colOff>
      <xdr:row>8</xdr:row>
      <xdr:rowOff>23965</xdr:rowOff>
    </xdr:to>
    <xdr:sp macro="" textlink="">
      <xdr:nvSpPr>
        <xdr:cNvPr id="33" name="TextBox 32">
          <a:extLst>
            <a:ext uri="{FF2B5EF4-FFF2-40B4-BE49-F238E27FC236}">
              <a16:creationId xmlns:a16="http://schemas.microsoft.com/office/drawing/2014/main" id="{4017D22F-8109-4462-B7A1-7BD9A9756ECB}"/>
            </a:ext>
          </a:extLst>
        </xdr:cNvPr>
        <xdr:cNvSpPr txBox="1"/>
      </xdr:nvSpPr>
      <xdr:spPr>
        <a:xfrm>
          <a:off x="1525305" y="1239123"/>
          <a:ext cx="1350622" cy="2333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100">
              <a:latin typeface="Times New Roman" panose="02020603050405020304" pitchFamily="18" charset="0"/>
              <a:cs typeface="Times New Roman" panose="02020603050405020304" pitchFamily="18" charset="0"/>
            </a:rPr>
            <a:t>No. Of </a:t>
          </a:r>
          <a:r>
            <a:rPr lang="en-IN" sz="1200">
              <a:latin typeface="Times New Roman" panose="02020603050405020304" pitchFamily="18" charset="0"/>
              <a:cs typeface="Times New Roman" panose="02020603050405020304" pitchFamily="18" charset="0"/>
            </a:rPr>
            <a:t>Patients</a:t>
          </a:r>
        </a:p>
      </xdr:txBody>
    </xdr:sp>
    <xdr:clientData/>
  </xdr:twoCellAnchor>
  <xdr:twoCellAnchor>
    <xdr:from>
      <xdr:col>11</xdr:col>
      <xdr:colOff>294318</xdr:colOff>
      <xdr:row>9</xdr:row>
      <xdr:rowOff>28521</xdr:rowOff>
    </xdr:from>
    <xdr:to>
      <xdr:col>14</xdr:col>
      <xdr:colOff>606954</xdr:colOff>
      <xdr:row>10</xdr:row>
      <xdr:rowOff>110791</xdr:rowOff>
    </xdr:to>
    <xdr:sp macro="" textlink="">
      <xdr:nvSpPr>
        <xdr:cNvPr id="34" name="TextBox 33">
          <a:extLst>
            <a:ext uri="{FF2B5EF4-FFF2-40B4-BE49-F238E27FC236}">
              <a16:creationId xmlns:a16="http://schemas.microsoft.com/office/drawing/2014/main" id="{43079754-33AB-4F56-A7E9-6F280FEBDA64}"/>
            </a:ext>
          </a:extLst>
        </xdr:cNvPr>
        <xdr:cNvSpPr txBox="1"/>
      </xdr:nvSpPr>
      <xdr:spPr>
        <a:xfrm>
          <a:off x="7016516" y="1658145"/>
          <a:ext cx="2145963" cy="2633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latin typeface="Times New Roman" panose="02020603050405020304" pitchFamily="18" charset="0"/>
              <a:cs typeface="Times New Roman" panose="02020603050405020304" pitchFamily="18" charset="0"/>
            </a:rPr>
            <a:t>Patient</a:t>
          </a:r>
          <a:r>
            <a:rPr lang="en-IN" sz="900" b="1" baseline="0">
              <a:latin typeface="Times New Roman" panose="02020603050405020304" pitchFamily="18" charset="0"/>
              <a:cs typeface="Times New Roman" panose="02020603050405020304" pitchFamily="18" charset="0"/>
            </a:rPr>
            <a:t> Attend Status</a:t>
          </a:r>
          <a:endParaRPr lang="en-IN" sz="900" b="1">
            <a:latin typeface="Times New Roman" panose="02020603050405020304" pitchFamily="18" charset="0"/>
            <a:cs typeface="Times New Roman" panose="02020603050405020304" pitchFamily="18" charset="0"/>
          </a:endParaRPr>
        </a:p>
      </xdr:txBody>
    </xdr:sp>
    <xdr:clientData/>
  </xdr:twoCellAnchor>
  <xdr:twoCellAnchor>
    <xdr:from>
      <xdr:col>11</xdr:col>
      <xdr:colOff>40303</xdr:colOff>
      <xdr:row>11</xdr:row>
      <xdr:rowOff>4799</xdr:rowOff>
    </xdr:from>
    <xdr:to>
      <xdr:col>15</xdr:col>
      <xdr:colOff>286694</xdr:colOff>
      <xdr:row>25</xdr:row>
      <xdr:rowOff>167938</xdr:rowOff>
    </xdr:to>
    <xdr:graphicFrame macro="">
      <xdr:nvGraphicFramePr>
        <xdr:cNvPr id="39" name="Chart 38">
          <a:extLst>
            <a:ext uri="{FF2B5EF4-FFF2-40B4-BE49-F238E27FC236}">
              <a16:creationId xmlns:a16="http://schemas.microsoft.com/office/drawing/2014/main" id="{0579082C-908F-4BC1-A682-303A12385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11</xdr:col>
      <xdr:colOff>152377</xdr:colOff>
      <xdr:row>24</xdr:row>
      <xdr:rowOff>44499</xdr:rowOff>
    </xdr:from>
    <xdr:to>
      <xdr:col>15</xdr:col>
      <xdr:colOff>117826</xdr:colOff>
      <xdr:row>25</xdr:row>
      <xdr:rowOff>148651</xdr:rowOff>
    </xdr:to>
    <xdr:sp macro="" textlink="">
      <xdr:nvSpPr>
        <xdr:cNvPr id="41" name="TextBox 40">
          <a:extLst>
            <a:ext uri="{FF2B5EF4-FFF2-40B4-BE49-F238E27FC236}">
              <a16:creationId xmlns:a16="http://schemas.microsoft.com/office/drawing/2014/main" id="{B21E5745-0195-49CA-8FF3-9D1A2BCB62B3}"/>
            </a:ext>
          </a:extLst>
        </xdr:cNvPr>
        <xdr:cNvSpPr txBox="1"/>
      </xdr:nvSpPr>
      <xdr:spPr>
        <a:xfrm>
          <a:off x="6874575" y="4390162"/>
          <a:ext cx="2409885" cy="285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b="1">
              <a:latin typeface="Times New Roman" panose="02020603050405020304" pitchFamily="18" charset="0"/>
              <a:cs typeface="Times New Roman" panose="02020603050405020304" pitchFamily="18" charset="0"/>
            </a:rPr>
            <a:t>No. Of Patient by</a:t>
          </a:r>
          <a:r>
            <a:rPr lang="en-IN" sz="900" b="1" baseline="0">
              <a:latin typeface="Times New Roman" panose="02020603050405020304" pitchFamily="18" charset="0"/>
              <a:cs typeface="Times New Roman" panose="02020603050405020304" pitchFamily="18" charset="0"/>
            </a:rPr>
            <a:t> Department Referral</a:t>
          </a:r>
          <a:endParaRPr lang="en-IN" sz="900" b="1">
            <a:latin typeface="Times New Roman" panose="02020603050405020304" pitchFamily="18" charset="0"/>
            <a:cs typeface="Times New Roman" panose="02020603050405020304" pitchFamily="18" charset="0"/>
          </a:endParaRPr>
        </a:p>
      </xdr:txBody>
    </xdr:sp>
    <xdr:clientData/>
  </xdr:twoCellAnchor>
  <xdr:twoCellAnchor>
    <xdr:from>
      <xdr:col>8</xdr:col>
      <xdr:colOff>350061</xdr:colOff>
      <xdr:row>1</xdr:row>
      <xdr:rowOff>144730</xdr:rowOff>
    </xdr:from>
    <xdr:to>
      <xdr:col>10</xdr:col>
      <xdr:colOff>402872</xdr:colOff>
      <xdr:row>3</xdr:row>
      <xdr:rowOff>170561</xdr:rowOff>
    </xdr:to>
    <mc:AlternateContent xmlns:mc="http://schemas.openxmlformats.org/markup-compatibility/2006">
      <mc:Choice xmlns:a14="http://schemas.microsoft.com/office/drawing/2010/main" Requires="a14">
        <xdr:graphicFrame macro="">
          <xdr:nvGraphicFramePr>
            <xdr:cNvPr id="42" name="Date (Year)">
              <a:extLst>
                <a:ext uri="{FF2B5EF4-FFF2-40B4-BE49-F238E27FC236}">
                  <a16:creationId xmlns:a16="http://schemas.microsoft.com/office/drawing/2014/main" id="{B20A3044-E326-4B27-9CFD-BF219DAC95E0}"/>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dr:sp macro="" textlink="">
          <xdr:nvSpPr>
            <xdr:cNvPr id="0" name=""/>
            <xdr:cNvSpPr>
              <a:spLocks noTextEdit="1"/>
            </xdr:cNvSpPr>
          </xdr:nvSpPr>
          <xdr:spPr>
            <a:xfrm>
              <a:off x="5197483" y="328344"/>
              <a:ext cx="1264666" cy="3930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3</xdr:col>
      <xdr:colOff>369682</xdr:colOff>
      <xdr:row>2</xdr:row>
      <xdr:rowOff>15089</xdr:rowOff>
    </xdr:from>
    <xdr:ext cx="1343253" cy="311496"/>
    <xdr:sp macro="" textlink="">
      <xdr:nvSpPr>
        <xdr:cNvPr id="6" name="TextBox 5">
          <a:extLst>
            <a:ext uri="{FF2B5EF4-FFF2-40B4-BE49-F238E27FC236}">
              <a16:creationId xmlns:a16="http://schemas.microsoft.com/office/drawing/2014/main" id="{E7AF8538-5788-4110-A5A9-687D79E848E3}"/>
            </a:ext>
          </a:extLst>
        </xdr:cNvPr>
        <xdr:cNvSpPr txBox="1"/>
      </xdr:nvSpPr>
      <xdr:spPr>
        <a:xfrm>
          <a:off x="2203009" y="377228"/>
          <a:ext cx="1343253" cy="31149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400"/>
            <a:t>Monthly Report</a:t>
          </a:r>
        </a:p>
      </xdr:txBody>
    </xdr:sp>
    <xdr:clientData/>
  </xdr:oneCellAnchor>
  <xdr:twoCellAnchor editAs="oneCell">
    <xdr:from>
      <xdr:col>4</xdr:col>
      <xdr:colOff>248969</xdr:colOff>
      <xdr:row>4</xdr:row>
      <xdr:rowOff>165981</xdr:rowOff>
    </xdr:from>
    <xdr:to>
      <xdr:col>4</xdr:col>
      <xdr:colOff>528118</xdr:colOff>
      <xdr:row>6</xdr:row>
      <xdr:rowOff>82991</xdr:rowOff>
    </xdr:to>
    <xdr:pic>
      <xdr:nvPicPr>
        <xdr:cNvPr id="10" name="Graphic 9" descr="User with solid fill">
          <a:extLst>
            <a:ext uri="{FF2B5EF4-FFF2-40B4-BE49-F238E27FC236}">
              <a16:creationId xmlns:a16="http://schemas.microsoft.com/office/drawing/2014/main" id="{C6AD3E94-830E-45E6-9CA3-824A3C55ED23}"/>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2693405" y="890258"/>
          <a:ext cx="279149" cy="279149"/>
        </a:xfrm>
        <a:prstGeom prst="rect">
          <a:avLst/>
        </a:prstGeom>
      </xdr:spPr>
    </xdr:pic>
    <xdr:clientData/>
  </xdr:twoCellAnchor>
  <xdr:twoCellAnchor editAs="oneCell">
    <xdr:from>
      <xdr:col>7</xdr:col>
      <xdr:colOff>150890</xdr:colOff>
      <xdr:row>4</xdr:row>
      <xdr:rowOff>173525</xdr:rowOff>
    </xdr:from>
    <xdr:to>
      <xdr:col>7</xdr:col>
      <xdr:colOff>445129</xdr:colOff>
      <xdr:row>6</xdr:row>
      <xdr:rowOff>105625</xdr:rowOff>
    </xdr:to>
    <xdr:pic>
      <xdr:nvPicPr>
        <xdr:cNvPr id="17" name="Graphic 16" descr="Clock with solid fill">
          <a:extLst>
            <a:ext uri="{FF2B5EF4-FFF2-40B4-BE49-F238E27FC236}">
              <a16:creationId xmlns:a16="http://schemas.microsoft.com/office/drawing/2014/main" id="{77DBA99E-6521-4923-BABC-48EFA32FB93A}"/>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4428652" y="897802"/>
          <a:ext cx="294239" cy="294239"/>
        </a:xfrm>
        <a:prstGeom prst="rect">
          <a:avLst/>
        </a:prstGeom>
      </xdr:spPr>
    </xdr:pic>
    <xdr:clientData/>
  </xdr:twoCellAnchor>
  <xdr:twoCellAnchor editAs="oneCell">
    <xdr:from>
      <xdr:col>10</xdr:col>
      <xdr:colOff>165982</xdr:colOff>
      <xdr:row>5</xdr:row>
      <xdr:rowOff>7546</xdr:rowOff>
    </xdr:from>
    <xdr:to>
      <xdr:col>10</xdr:col>
      <xdr:colOff>445129</xdr:colOff>
      <xdr:row>6</xdr:row>
      <xdr:rowOff>105624</xdr:rowOff>
    </xdr:to>
    <xdr:pic>
      <xdr:nvPicPr>
        <xdr:cNvPr id="20" name="Graphic 19" descr="Star with solid fill">
          <a:extLst>
            <a:ext uri="{FF2B5EF4-FFF2-40B4-BE49-F238E27FC236}">
              <a16:creationId xmlns:a16="http://schemas.microsoft.com/office/drawing/2014/main" id="{1AFA6F19-81CB-4A5C-9A9B-01E35F4BE010}"/>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6277071" y="912893"/>
          <a:ext cx="279147" cy="279147"/>
        </a:xfrm>
        <a:prstGeom prst="rect">
          <a:avLst/>
        </a:prstGeom>
      </xdr:spPr>
    </xdr:pic>
    <xdr:clientData/>
  </xdr:twoCellAnchor>
  <xdr:oneCellAnchor>
    <xdr:from>
      <xdr:col>9</xdr:col>
      <xdr:colOff>1</xdr:colOff>
      <xdr:row>0</xdr:row>
      <xdr:rowOff>127969</xdr:rowOff>
    </xdr:from>
    <xdr:ext cx="838563" cy="254493"/>
    <xdr:sp macro="" textlink="">
      <xdr:nvSpPr>
        <xdr:cNvPr id="25" name="TextBox 24">
          <a:extLst>
            <a:ext uri="{FF2B5EF4-FFF2-40B4-BE49-F238E27FC236}">
              <a16:creationId xmlns:a16="http://schemas.microsoft.com/office/drawing/2014/main" id="{588CE57D-B6B8-4233-B062-754160C1A865}"/>
            </a:ext>
          </a:extLst>
        </xdr:cNvPr>
        <xdr:cNvSpPr txBox="1"/>
      </xdr:nvSpPr>
      <xdr:spPr>
        <a:xfrm>
          <a:off x="5496871" y="127969"/>
          <a:ext cx="838563" cy="25449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N" sz="1100">
              <a:latin typeface="Times New Roman" panose="02020603050405020304" pitchFamily="18" charset="0"/>
              <a:cs typeface="Times New Roman" panose="02020603050405020304" pitchFamily="18" charset="0"/>
            </a:rPr>
            <a:t>Select Year</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2</xdr:col>
      <xdr:colOff>78152</xdr:colOff>
      <xdr:row>2</xdr:row>
      <xdr:rowOff>126999</xdr:rowOff>
    </xdr:from>
    <xdr:to>
      <xdr:col>15</xdr:col>
      <xdr:colOff>351691</xdr:colOff>
      <xdr:row>24</xdr:row>
      <xdr:rowOff>127000</xdr:rowOff>
    </xdr:to>
    <xdr:graphicFrame macro="">
      <xdr:nvGraphicFramePr>
        <xdr:cNvPr id="2" name="Chart 1">
          <a:extLst>
            <a:ext uri="{FF2B5EF4-FFF2-40B4-BE49-F238E27FC236}">
              <a16:creationId xmlns:a16="http://schemas.microsoft.com/office/drawing/2014/main" id="{06D984BC-A249-4742-BDD1-E9968CCBBC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107461</xdr:colOff>
      <xdr:row>25</xdr:row>
      <xdr:rowOff>117231</xdr:rowOff>
    </xdr:from>
    <xdr:ext cx="4269154" cy="264560"/>
    <xdr:sp macro="" textlink="">
      <xdr:nvSpPr>
        <xdr:cNvPr id="3" name="TextBox 2">
          <a:extLst>
            <a:ext uri="{FF2B5EF4-FFF2-40B4-BE49-F238E27FC236}">
              <a16:creationId xmlns:a16="http://schemas.microsoft.com/office/drawing/2014/main" id="{8067FBA5-5A8E-4A05-A013-4A981C2E594E}"/>
            </a:ext>
          </a:extLst>
        </xdr:cNvPr>
        <xdr:cNvSpPr txBox="1"/>
      </xdr:nvSpPr>
      <xdr:spPr>
        <a:xfrm>
          <a:off x="3135923" y="4757616"/>
          <a:ext cx="4269154" cy="26456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100"/>
            <a:t>*Showing</a:t>
          </a:r>
          <a:r>
            <a:rPr lang="en-IN" sz="1100" baseline="0"/>
            <a:t> Daily Trend between the no. of patients admitted in the ER</a:t>
          </a:r>
          <a:endParaRPr lang="en-IN" sz="1100"/>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327949</xdr:colOff>
      <xdr:row>1</xdr:row>
      <xdr:rowOff>149250</xdr:rowOff>
    </xdr:from>
    <xdr:to>
      <xdr:col>16</xdr:col>
      <xdr:colOff>395468</xdr:colOff>
      <xdr:row>23</xdr:row>
      <xdr:rowOff>169044</xdr:rowOff>
    </xdr:to>
    <xdr:graphicFrame macro="">
      <xdr:nvGraphicFramePr>
        <xdr:cNvPr id="2" name="Chart 1">
          <a:extLst>
            <a:ext uri="{FF2B5EF4-FFF2-40B4-BE49-F238E27FC236}">
              <a16:creationId xmlns:a16="http://schemas.microsoft.com/office/drawing/2014/main" id="{1E9B3CFC-B947-4238-B1E9-56A4F3E7B8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244929</xdr:colOff>
      <xdr:row>25</xdr:row>
      <xdr:rowOff>63500</xdr:rowOff>
    </xdr:from>
    <xdr:to>
      <xdr:col>12</xdr:col>
      <xdr:colOff>154214</xdr:colOff>
      <xdr:row>26</xdr:row>
      <xdr:rowOff>163286</xdr:rowOff>
    </xdr:to>
    <xdr:sp macro="" textlink="">
      <xdr:nvSpPr>
        <xdr:cNvPr id="4" name="TextBox 3">
          <a:extLst>
            <a:ext uri="{FF2B5EF4-FFF2-40B4-BE49-F238E27FC236}">
              <a16:creationId xmlns:a16="http://schemas.microsoft.com/office/drawing/2014/main" id="{A0241746-57E8-4B98-B1E9-ECFA61D91375}"/>
            </a:ext>
          </a:extLst>
        </xdr:cNvPr>
        <xdr:cNvSpPr txBox="1"/>
      </xdr:nvSpPr>
      <xdr:spPr>
        <a:xfrm>
          <a:off x="2676072" y="4599214"/>
          <a:ext cx="4771571" cy="28121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 Using an area sparkline to track longer</a:t>
          </a:r>
          <a:r>
            <a:rPr lang="en-IN" sz="1100" baseline="0">
              <a:solidFill>
                <a:schemeClr val="dk1"/>
              </a:solidFill>
              <a:effectLst/>
              <a:latin typeface="+mn-lt"/>
              <a:ea typeface="+mn-ea"/>
              <a:cs typeface="+mn-cs"/>
            </a:rPr>
            <a:t> wait times that requires improvements</a:t>
          </a:r>
          <a:endParaRPr lang="en-IN">
            <a:effectLst/>
          </a:endParaRPr>
        </a:p>
        <a:p>
          <a:endParaRPr lang="en-IN"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244929</xdr:colOff>
      <xdr:row>25</xdr:row>
      <xdr:rowOff>63500</xdr:rowOff>
    </xdr:from>
    <xdr:to>
      <xdr:col>12</xdr:col>
      <xdr:colOff>154214</xdr:colOff>
      <xdr:row>26</xdr:row>
      <xdr:rowOff>163286</xdr:rowOff>
    </xdr:to>
    <xdr:sp macro="" textlink="">
      <xdr:nvSpPr>
        <xdr:cNvPr id="3" name="TextBox 2">
          <a:extLst>
            <a:ext uri="{FF2B5EF4-FFF2-40B4-BE49-F238E27FC236}">
              <a16:creationId xmlns:a16="http://schemas.microsoft.com/office/drawing/2014/main" id="{E39E6D24-1A2B-4D4A-A73C-C5D9AF709FA0}"/>
            </a:ext>
          </a:extLst>
        </xdr:cNvPr>
        <xdr:cNvSpPr txBox="1"/>
      </xdr:nvSpPr>
      <xdr:spPr>
        <a:xfrm>
          <a:off x="2683329" y="4635500"/>
          <a:ext cx="4786085" cy="2826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100">
              <a:solidFill>
                <a:schemeClr val="dk1"/>
              </a:solidFill>
              <a:effectLst/>
              <a:latin typeface="+mn-lt"/>
              <a:ea typeface="+mn-ea"/>
              <a:cs typeface="+mn-cs"/>
            </a:rPr>
            <a:t>* Using an area sparkline to show the average</a:t>
          </a:r>
          <a:r>
            <a:rPr lang="en-IN" sz="1100" baseline="0">
              <a:solidFill>
                <a:schemeClr val="dk1"/>
              </a:solidFill>
              <a:effectLst/>
              <a:latin typeface="+mn-lt"/>
              <a:ea typeface="+mn-ea"/>
              <a:cs typeface="+mn-cs"/>
            </a:rPr>
            <a:t> satisfaction score of patients</a:t>
          </a:r>
          <a:endParaRPr lang="en-IN">
            <a:effectLst/>
          </a:endParaRPr>
        </a:p>
        <a:p>
          <a:endParaRPr lang="en-IN" sz="1100"/>
        </a:p>
      </xdr:txBody>
    </xdr:sp>
    <xdr:clientData/>
  </xdr:twoCellAnchor>
  <xdr:twoCellAnchor>
    <xdr:from>
      <xdr:col>1</xdr:col>
      <xdr:colOff>190499</xdr:colOff>
      <xdr:row>2</xdr:row>
      <xdr:rowOff>36286</xdr:rowOff>
    </xdr:from>
    <xdr:to>
      <xdr:col>14</xdr:col>
      <xdr:colOff>562428</xdr:colOff>
      <xdr:row>23</xdr:row>
      <xdr:rowOff>163286</xdr:rowOff>
    </xdr:to>
    <xdr:graphicFrame macro="">
      <xdr:nvGraphicFramePr>
        <xdr:cNvPr id="4" name="Chart 3">
          <a:extLst>
            <a:ext uri="{FF2B5EF4-FFF2-40B4-BE49-F238E27FC236}">
              <a16:creationId xmlns:a16="http://schemas.microsoft.com/office/drawing/2014/main" id="{FB816A2E-5616-4787-B6CB-1881D126F0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75925924" createdVersion="5" refreshedVersion="7" minRefreshableVersion="3" recordCount="0" supportSubquery="1" supportAdvancedDrill="1" xr:uid="{851CED9B-98EB-4E28-BC52-3D71FCE15C3F}">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76388886" createdVersion="5" refreshedVersion="7" minRefreshableVersion="3" recordCount="0" supportSubquery="1" supportAdvancedDrill="1" xr:uid="{AB16BAD5-EEE2-46FF-872F-64608E0D2396}">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76967594" createdVersion="5" refreshedVersion="7" minRefreshableVersion="3" recordCount="0" supportSubquery="1" supportAdvancedDrill="1" xr:uid="{904E0E49-721B-4CBB-B223-B18AE8B9317D}">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77546295" createdVersion="5" refreshedVersion="7" minRefreshableVersion="3" recordCount="0" supportSubquery="1" supportAdvancedDrill="1" xr:uid="{A3BEEAE5-EBFC-4F2D-9D00-1F481B67DD0E}">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78472226" createdVersion="5" refreshedVersion="7" minRefreshableVersion="3" recordCount="0" supportSubquery="1" supportAdvancedDrill="1" xr:uid="{CD4891DD-EDD5-46AC-AA48-DBC6F9C8DD7C}">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79282411" createdVersion="5" refreshedVersion="7" minRefreshableVersion="3" recordCount="0" supportSubquery="1" supportAdvancedDrill="1" xr:uid="{AEB22C17-6296-457B-8E09-29690E04A54D}">
  <cacheSource type="external" connectionId="3"/>
  <cacheFields count="4">
    <cacheField name="[Calendar_Table].[Date (Day)].[Date (Day)]" caption="Date (Day)" numFmtId="0" hierarchy="2" level="1">
      <sharedItems count="31">
        <s v="1-May"/>
        <s v="2-May"/>
        <s v="3-May"/>
        <s v="4-May"/>
        <s v="5-May"/>
        <s v="6-May"/>
        <s v="7-May"/>
        <s v="8-May"/>
        <s v="9-May"/>
        <s v="10-May"/>
        <s v="11-May"/>
        <s v="12-May"/>
        <s v="13-May"/>
        <s v="14-May"/>
        <s v="15-May"/>
        <s v="16-May"/>
        <s v="17-May"/>
        <s v="18-May"/>
        <s v="19-May"/>
        <s v="20-May"/>
        <s v="21-May"/>
        <s v="22-May"/>
        <s v="23-May"/>
        <s v="24-May"/>
        <s v="25-May"/>
        <s v="26-May"/>
        <s v="27-May"/>
        <s v="28-May"/>
        <s v="29-May"/>
        <s v="30-May"/>
        <s v="31-May"/>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80208335" createdVersion="5" refreshedVersion="7" minRefreshableVersion="3" recordCount="0" supportSubquery="1" supportAdvancedDrill="1" xr:uid="{F7AC9A42-4E06-431B-BAE9-1E20C2EC6C46}">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Measures].[Count of Patient Admission Flag]" caption="Count of Patient Admission Flag" numFmtId="0" hierarchy="29" level="32767"/>
    <cacheField name="[Calendar_Table].[Date (Year)].[Date (Year)]" caption="Date (Year)" numFmtId="0" hierarchy="3" level="1">
      <sharedItems containsSemiMixedTypes="0" containsNonDate="0" containsString="0"/>
    </cacheField>
    <cacheField name="Dummy0" numFmtId="0" hierarchy="33" level="32767">
      <extLst>
        <ext xmlns:x14="http://schemas.microsoft.com/office/spreadsheetml/2009/9/main" uri="{63CAB8AC-B538-458d-9737-405883B0398D}">
          <x14:cacheField ignore="1"/>
        </ext>
      </extLst>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Dummy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80555558" createdVersion="5" refreshedVersion="7" minRefreshableVersion="3" recordCount="0" supportSubquery="1" supportAdvancedDrill="1" xr:uid="{991826CA-72AE-4A15-95EA-DB79FDBFCE65}">
  <cacheSource type="external" connectionId="3"/>
  <cacheFields count="4">
    <cacheField name="[Calendar_Table].[Date (Month)].[Date (Month)]" caption="Date (Month)" numFmtId="0" hierarchy="1" level="1">
      <sharedItems containsSemiMixedTypes="0" containsNonDate="0" containsString="0"/>
    </cacheField>
    <cacheField name="[Hospital Emergency Room Data].[Age Group].[Age Group]" caption="Age Group" numFmtId="0" hierarchy="16" level="1">
      <sharedItems count="8">
        <s v="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8101852" createdVersion="5" refreshedVersion="7" minRefreshableVersion="3" recordCount="0" supportSubquery="1" supportAdvancedDrill="1" xr:uid="{45B91C3E-97DE-4A6F-BC89-7EE20703140A}">
  <cacheSource type="external" connectionId="3"/>
  <cacheFields count="4">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81365743" createdVersion="5" refreshedVersion="7" minRefreshableVersion="3" recordCount="0" supportSubquery="1" supportAdvancedDrill="1" xr:uid="{8DE1AC1B-D9CA-4D05-94AE-DE8F92D2FF08}">
  <cacheSource type="external" connectionId="3"/>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2" level="32767"/>
    <cacheField name="[Calendar_Table].[Date (Year)].[Date (Year)]" caption="Date (Year)" numFmtId="0" hierarchy="3" level="1">
      <sharedItems containsSemiMixedTypes="0" containsNonDate="0" containsString="0"/>
    </cacheField>
  </cacheFields>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5.015181712966" createdVersion="5" refreshedVersion="7" minRefreshableVersion="3" recordCount="0" supportSubquery="1" supportAdvancedDrill="1" xr:uid="{8247A097-C1A7-4B99-A5EA-785AAF98E3FF}">
  <cacheSource type="external" connectionId="3"/>
  <cacheFields count="4">
    <cacheField name="[Calendar_Table].[Date (Month)].[Date (Month)]" caption="Date (Month)" numFmtId="0" hierarchy="1" level="1">
      <sharedItems containsNonDate="0" count="1">
        <s v="May"/>
      </sharedItems>
    </cacheField>
    <cacheField name="[Calendar_Table].[Date].[Date]" caption="Date" numFmtId="0" level="1">
      <sharedItems containsSemiMixedTypes="0" containsNonDate="0" containsDate="1" containsString="0" minDate="2023-05-01T00:00:00" maxDate="2024-06-01T00:00:00" count="62">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sharedItems>
    </cacheField>
    <cacheField name="[Calendar_Table].[Date (Quarter)].[Date (Quarter)]" caption="Date (Quarter)" numFmtId="0" hierarchy="4" level="1">
      <sharedItems containsNonDate="0" count="1">
        <s v="Qtr2"/>
      </sharedItems>
    </cacheField>
    <cacheField name="[Calendar_Table].[Date (Year)].[Date (Year)]" caption="Date (Year)" numFmtId="0" hierarchy="3" level="1">
      <sharedItems count="1">
        <s v="2024"/>
      </sharedItems>
    </cacheField>
  </cacheFields>
  <cacheHierarchies count="33">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1"/>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ratham" refreshedDate="45974.985514814813" createdVersion="3" refreshedVersion="7" minRefreshableVersion="3" recordCount="0" supportSubquery="1" supportAdvancedDrill="1" xr:uid="{3FD3BEBA-F2A3-43EF-8521-919E4CACB542}">
  <cacheSource type="external" connectionId="3">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78316536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6E538B-C601-4F1C-816D-109F02DD9D1F}" name="PivotTable14" cacheId="1609" applyNumberFormats="0" applyBorderFormats="0" applyFontFormats="0" applyPatternFormats="0" applyAlignmentFormats="0" applyWidthHeightFormats="1" dataCaption="Values" tag="cc30aecc-dbb8-4656-877d-b55f45882a65" updatedVersion="7" minRefreshableVersion="3" subtotalHiddenItems="1" itemPrintTitles="1" createdVersion="5" indent="0" outline="1" outlineData="1" multipleFieldFilters="0" chartFormat="45">
  <location ref="A66:A68" firstHeaderRow="1" firstDataRow="1" firstDataCol="1"/>
  <pivotFields count="4">
    <pivotField axis="axisRow" allDrilled="1" subtotalTop="0" showAll="0" dataSourceSort="1" defaultSubtotal="0">
      <items count="1">
        <item s="1"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2">
      <pivotArea outline="0" collapsedLevelsAreSubtotals="1" fieldPosition="0"/>
    </format>
  </formats>
  <pivotHierarchies count="33">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A4D2E1-FCEB-438E-95A7-9D994F6E7B09}" name="PivotTable13" cacheId="1606" applyNumberFormats="0" applyBorderFormats="0" applyFontFormats="0" applyPatternFormats="0" applyAlignmentFormats="0" applyWidthHeightFormats="1" dataCaption="Values" tag="950f0117-c32c-44b6-a351-61a17585bda2" updatedVersion="7" minRefreshableVersion="3" subtotalHiddenItems="1" itemPrintTitles="1" createdVersion="5" indent="0" outline="1" outlineData="1" multipleFieldFilters="0" chartFormat="49">
  <location ref="D60:E6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Department Referral" fld="2" subtotal="count" baseField="0" baseItem="0"/>
  </dataFields>
  <formats count="1">
    <format dxfId="23">
      <pivotArea outline="0" collapsedLevelsAreSubtotals="1" fieldPosition="0"/>
    </format>
  </formats>
  <chartFormats count="3">
    <chartFormat chart="46" format="1"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33FF751-C02E-446F-9797-A40F4AED64A8}" name="PivotTable9" cacheId="1603" applyNumberFormats="0" applyBorderFormats="0" applyFontFormats="0" applyPatternFormats="0" applyAlignmentFormats="0" applyWidthHeightFormats="1" dataCaption="Values" tag="bc8a0519-7fea-444a-990a-4c482390bb6c" updatedVersion="7" minRefreshableVersion="3" subtotalHiddenItems="1" itemPrintTitles="1" createdVersion="5" indent="0" outline="1" outlineData="1" multipleFieldFilters="0" chartFormat="45">
  <location ref="D54:E57"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Id" fld="2" subtotal="count" baseField="0" baseItem="0"/>
  </dataFields>
  <formats count="2">
    <format dxfId="25">
      <pivotArea outline="0" collapsedLevelsAreSubtotals="1" fieldPosition="0"/>
    </format>
    <format dxfId="24">
      <pivotArea collapsedLevelsAreSubtotals="1" fieldPosition="0">
        <references count="1">
          <reference field="1" count="0"/>
        </references>
      </pivotArea>
    </format>
  </formats>
  <chartFormats count="9">
    <chartFormat chart="42" format="1" series="1">
      <pivotArea type="data" outline="0" fieldPosition="0">
        <references count="1">
          <reference field="4294967294" count="1" selected="0">
            <x v="0"/>
          </reference>
        </references>
      </pivotArea>
    </chartFormat>
    <chartFormat chart="42" format="2">
      <pivotArea type="data" outline="0" fieldPosition="0">
        <references count="2">
          <reference field="4294967294" count="1" selected="0">
            <x v="0"/>
          </reference>
          <reference field="1" count="1" selected="0">
            <x v="0"/>
          </reference>
        </references>
      </pivotArea>
    </chartFormat>
    <chartFormat chart="42" format="3">
      <pivotArea type="data" outline="0" fieldPosition="0">
        <references count="2">
          <reference field="4294967294" count="1" selected="0">
            <x v="0"/>
          </reference>
          <reference field="1" count="1" selected="0">
            <x v="1"/>
          </reference>
        </references>
      </pivotArea>
    </chartFormat>
    <chartFormat chart="43" format="4" series="1">
      <pivotArea type="data" outline="0" fieldPosition="0">
        <references count="1">
          <reference field="4294967294" count="1" selected="0">
            <x v="0"/>
          </reference>
        </references>
      </pivotArea>
    </chartFormat>
    <chartFormat chart="43" format="5">
      <pivotArea type="data" outline="0" fieldPosition="0">
        <references count="2">
          <reference field="4294967294" count="1" selected="0">
            <x v="0"/>
          </reference>
          <reference field="1" count="1" selected="0">
            <x v="0"/>
          </reference>
        </references>
      </pivotArea>
    </chartFormat>
    <chartFormat chart="43" format="6">
      <pivotArea type="data" outline="0" fieldPosition="0">
        <references count="2">
          <reference field="4294967294" count="1" selected="0">
            <x v="0"/>
          </reference>
          <reference field="1" count="1" selected="0">
            <x v="1"/>
          </reference>
        </references>
      </pivotArea>
    </chartFormat>
    <chartFormat chart="44" format="4" series="1">
      <pivotArea type="data" outline="0" fieldPosition="0">
        <references count="1">
          <reference field="4294967294" count="1" selected="0">
            <x v="0"/>
          </reference>
        </references>
      </pivotArea>
    </chartFormat>
    <chartFormat chart="44" format="5">
      <pivotArea type="data" outline="0" fieldPosition="0">
        <references count="2">
          <reference field="4294967294" count="1" selected="0">
            <x v="0"/>
          </reference>
          <reference field="1" count="1" selected="0">
            <x v="0"/>
          </reference>
        </references>
      </pivotArea>
    </chartFormat>
    <chartFormat chart="44" format="6">
      <pivotArea type="data" outline="0" fieldPosition="0">
        <references count="2">
          <reference field="4294967294" count="1" selected="0">
            <x v="0"/>
          </reference>
          <reference field="1" count="1" selected="0">
            <x v="1"/>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6A2C67A-5018-49F2-AA55-851A7DDE8600}" name="PivotTable8" cacheId="1600" applyNumberFormats="0" applyBorderFormats="0" applyFontFormats="0" applyPatternFormats="0" applyAlignmentFormats="0" applyWidthHeightFormats="1" dataCaption="Values" tag="e35549ff-47a8-495c-bf22-e7fb10cff0ef" updatedVersion="7" minRefreshableVersion="3" subtotalHiddenItems="1" itemPrintTitles="1" createdVersion="5" indent="0" outline="1" outlineData="1" multipleFieldFilters="0" chartFormat="41">
  <location ref="A54:B63"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1">
    <format dxfId="26">
      <pivotArea outline="0" collapsedLevelsAreSubtotals="1" fieldPosition="0"/>
    </format>
  </formats>
  <chartFormats count="1">
    <chartFormat chart="40"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8C9C14-4EDA-48EC-9B02-62C7898119AC}" name="PivotTable6" cacheId="1594" applyNumberFormats="0" applyBorderFormats="0" applyFontFormats="0" applyPatternFormats="0" applyAlignmentFormats="0" applyWidthHeightFormats="1" dataCaption="Values" tag="0831bf06-6aa4-44c2-a632-6168900d2948" updatedVersion="7" minRefreshableVersion="3" useAutoFormatting="1" subtotalHiddenItems="1" itemPrintTitles="1" createdVersion="5" indent="0" outline="1" outlineData="1" multipleFieldFilters="0" chartFormat="26">
  <location ref="L9:M4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Patient Satisfaction Score" fld="2" subtotal="average" baseField="0" baseItem="4"/>
  </dataFields>
  <formats count="1">
    <format dxfId="27">
      <pivotArea collapsedLevelsAreSubtotals="1" fieldPosition="0">
        <references count="1">
          <reference field="0" count="0"/>
        </references>
      </pivotArea>
    </format>
  </formats>
  <chartFormats count="2">
    <chartFormat chart="21" format="2"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Patient Satisfaction Score"/>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76B5D97-8840-42D9-BE5D-0C16CFA8EA25}" name="PivotTable1" cacheId="1582" applyNumberFormats="0" applyBorderFormats="0" applyFontFormats="0" applyPatternFormats="0" applyAlignmentFormats="0" applyWidthHeightFormats="1" dataCaption="Values" tag="0f6d7dad-af67-4d10-9b64-baac2ced0c49" updatedVersion="7" minRefreshableVersion="3" useAutoFormatting="1" subtotalHiddenItems="1" itemPrintTitles="1" createdVersion="5" indent="0" outline="1" outlineData="1" multipleFieldFilters="0">
  <location ref="A13:A14"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15C4500-5CFB-491D-98A6-94B069B9F51F}" name="PivotTable5" cacheId="1591" applyNumberFormats="0" applyBorderFormats="0" applyFontFormats="0" applyPatternFormats="0" applyAlignmentFormats="0" applyWidthHeightFormats="1" dataCaption="Values" tag="2b363bbf-396c-4bbc-a1cd-f38eea993385" updatedVersion="7" minRefreshableVersion="3" useAutoFormatting="1" subtotalHiddenItems="1" itemPrintTitles="1" createdVersion="5" indent="0" outline="1" outlineData="1" multipleFieldFilters="0" chartFormat="18">
  <location ref="H9:I41" firstHeaderRow="1" firstDataRow="1" firstDataCol="1"/>
  <pivotFields count="4">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Average of Patient Waittime" fld="2" subtotal="average" baseField="0" baseItem="1"/>
  </dataFields>
  <formats count="1">
    <format dxfId="28">
      <pivotArea collapsedLevelsAreSubtotals="1" fieldPosition="0">
        <references count="1">
          <reference field="0" count="0"/>
        </references>
      </pivotArea>
    </format>
  </formats>
  <chartFormats count="2">
    <chartFormat chart="11" format="2" series="1">
      <pivotArea type="data" outline="0" fieldPosition="0">
        <references count="1">
          <reference field="4294967294" count="1" selected="0">
            <x v="0"/>
          </reference>
        </references>
      </pivotArea>
    </chartFormat>
    <chartFormat chart="14" format="4"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B5D20BD-D649-41F9-A1EC-C6E6755ED51E}" name="PivotTable4" cacheId="1588" applyNumberFormats="0" applyBorderFormats="0" applyFontFormats="0" applyPatternFormats="0" applyAlignmentFormats="0" applyWidthHeightFormats="1" dataCaption="Values" tag="ff14e3e0-932b-4911-9aa7-34bd1802b255" updatedVersion="7" minRefreshableVersion="3" useAutoFormatting="1" subtotalHiddenItems="1" itemPrintTitles="1" createdVersion="5" indent="0" outline="1" outlineData="1" multipleFieldFilters="0">
  <location ref="A22:A23"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9">
      <pivotArea outline="0" collapsedLevelsAreSubtotals="1" fieldPosition="0"/>
    </format>
  </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0BB1DFF-A04A-4868-85BF-F59EE600FB45}" name="PivotTable2" cacheId="1579" applyNumberFormats="0" applyBorderFormats="0" applyFontFormats="0" applyPatternFormats="0" applyAlignmentFormats="0" applyWidthHeightFormats="1" dataCaption="Values" tag="fa0e0987-e6cc-4741-8d6c-17acd675d468" updatedVersion="7" minRefreshableVersion="3" useAutoFormatting="1" subtotalHiddenItems="1" itemPrintTitles="1" createdVersion="5" indent="0" outline="1" outlineData="1" multipleFieldFilters="0" chartFormat="8">
  <location ref="C9:D41" firstHeaderRow="1" firstDataRow="1" firstDataCol="1"/>
  <pivotFields count="4">
    <pivotField dataField="1" subtotalTop="0" showAll="0" defaultSubtotal="0"/>
    <pivotField axis="axisRow" allDrilled="1" subtotalTop="0" showAll="0" dataSourceSort="1" defaultSubtotal="0" defaultAttributeDrillState="1">
      <items count="31">
        <item x="0"/>
        <item x="1"/>
        <item x="2"/>
        <item x="3"/>
        <item x="4"/>
        <item x="5"/>
        <item x="6"/>
        <item x="7"/>
        <item x="8"/>
        <item x="9"/>
        <item x="10"/>
        <item x="11"/>
        <item x="12"/>
        <item x="13"/>
        <item x="14"/>
        <item x="15"/>
        <item x="16"/>
        <item x="17"/>
        <item x="18"/>
        <item x="19"/>
        <item x="20"/>
        <item x="21"/>
        <item x="22"/>
        <item x="23"/>
        <item x="24"/>
        <item x="25"/>
        <item x="26"/>
        <item x="27"/>
        <item x="28"/>
        <item x="29"/>
        <item x="30"/>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4">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933263F-8FD3-4062-937E-8E5579A85808}" name="PivotTable3" cacheId="1585" applyNumberFormats="0" applyBorderFormats="0" applyFontFormats="0" applyPatternFormats="0" applyAlignmentFormats="0" applyWidthHeightFormats="1" dataCaption="Values" tag="2fdebe55-c46e-4a69-a00f-d6602dedbd3f" updatedVersion="7" minRefreshableVersion="3" useAutoFormatting="1" subtotalHiddenItems="1" itemPrintTitles="1" createdVersion="5" indent="0" outline="1" outlineData="1" multipleFieldFilters="0" chartFormat="1">
  <location ref="A18:A1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30">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33">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A687E0B-152E-440C-8F78-74B96DE3A805}" name="PivotTable7" cacheId="1597" applyNumberFormats="0" applyBorderFormats="0" applyFontFormats="0" applyPatternFormats="0" applyAlignmentFormats="0" applyWidthHeightFormats="1" dataCaption="Values" tag="df13911b-6721-4304-af5b-10b5b3994744" updatedVersion="7" minRefreshableVersion="3" subtotalHiddenItems="1" itemPrintTitles="1" createdVersion="5" indent="0" outline="1" outlineData="1" multipleFieldFilters="0" chartFormat="37">
  <location ref="A43:C4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2">
    <format dxfId="32">
      <pivotArea outline="0" collapsedLevelsAreSubtotals="1" fieldPosition="0"/>
    </format>
    <format dxfId="3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0" format="3">
      <pivotArea type="data" outline="0" fieldPosition="0">
        <references count="2">
          <reference field="4294967294" count="1" selected="0">
            <x v="0"/>
          </reference>
          <reference field="1" count="1" selected="0">
            <x v="1"/>
          </reference>
        </references>
      </pivotArea>
    </chartFormat>
  </chartFormats>
  <pivotHierarchies count="34">
    <pivotHierarchy dragToData="1"/>
    <pivotHierarchy multipleItemSelectionAllowed="1" dragToData="1">
      <members count="1" level="1">
        <member name="[Calendar_Table].[Date (Month)].&amp;[May]"/>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caption="Sum of Patient Satisfaction Score"/>
    <pivotHierarchy dragToData="1" caption="Average of Patient Satisfaction Score"/>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37DABA12-7633-45BB-B045-A65C1675EEF0}" sourceName="[Calendar_Table].[Date (Month)]">
  <pivotTables>
    <pivotTable tabId="1" name="PivotTable2"/>
    <pivotTable tabId="1" name="PivotTable1"/>
    <pivotTable tabId="1" name="PivotTable3"/>
    <pivotTable tabId="1" name="PivotTable4"/>
    <pivotTable tabId="1" name="PivotTable5"/>
    <pivotTable tabId="1" name="PivotTable6"/>
    <pivotTable tabId="1" name="PivotTable7"/>
    <pivotTable tabId="1" name="PivotTable8"/>
    <pivotTable tabId="1" name="PivotTable9"/>
    <pivotTable tabId="1" name="PivotTable13"/>
    <pivotTable tabId="1" name="PivotTable14"/>
  </pivotTables>
  <data>
    <olap pivotCacheId="78316536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range>
          </ranges>
        </level>
      </levels>
      <selections count="1">
        <selection n="[Calendar_Table].[Date (Month)].&amp;[May]"/>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2234E12B-4354-4E4C-8B3B-F2E16C31949C}" sourceName="[Calendar_Table].[Date (Year)]">
  <pivotTables>
    <pivotTable tabId="1" name="PivotTable14"/>
    <pivotTable tabId="1" name="PivotTable1"/>
    <pivotTable tabId="1" name="PivotTable13"/>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78316536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4CCAE11F-6577-4518-84C8-7C3BE5CE9E13}" cache="Slicer_Date__Month" caption="Date (Month)" showCaption="0" level="1" style="MyStyle" rowHeight="367200"/>
  <slicer name="Date (Year)" xr10:uid="{211D5B25-CF7F-4711-8C84-9886A70CD961}" cache="Slicer_Date__Year" caption="Date (Year)" columnCount="2" showCaption="0" level="1" style="SlicerStyleDark2" rowHeight="2340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14D78-00E2-4E4C-9FB3-2CF360AAC8B3}">
  <dimension ref="A7:M69"/>
  <sheetViews>
    <sheetView topLeftCell="A34" zoomScale="104" workbookViewId="0">
      <selection activeCell="D46" sqref="D46"/>
    </sheetView>
  </sheetViews>
  <sheetFormatPr defaultRowHeight="14.4" x14ac:dyDescent="0.3"/>
  <cols>
    <col min="1" max="1" width="32.77734375" bestFit="1" customWidth="1"/>
    <col min="2" max="2" width="17.88671875" customWidth="1"/>
    <col min="3" max="3" width="12.6640625" bestFit="1" customWidth="1"/>
    <col min="4" max="4" width="24.109375" bestFit="1" customWidth="1"/>
    <col min="8" max="8" width="12.6640625" bestFit="1" customWidth="1"/>
    <col min="9" max="9" width="25.5546875" bestFit="1" customWidth="1"/>
    <col min="12" max="12" width="12.6640625" bestFit="1" customWidth="1"/>
    <col min="13" max="13" width="23" bestFit="1" customWidth="1"/>
  </cols>
  <sheetData>
    <row r="7" spans="1:13" x14ac:dyDescent="0.3">
      <c r="A7" t="s">
        <v>1</v>
      </c>
    </row>
    <row r="8" spans="1:13" x14ac:dyDescent="0.3">
      <c r="C8" t="s">
        <v>7</v>
      </c>
      <c r="H8" t="s">
        <v>8</v>
      </c>
      <c r="L8" t="s">
        <v>10</v>
      </c>
    </row>
    <row r="9" spans="1:13" x14ac:dyDescent="0.3">
      <c r="C9" s="3" t="s">
        <v>5</v>
      </c>
      <c r="D9" t="s">
        <v>0</v>
      </c>
      <c r="H9" s="3" t="s">
        <v>5</v>
      </c>
      <c r="I9" t="s">
        <v>3</v>
      </c>
      <c r="L9" s="3" t="s">
        <v>5</v>
      </c>
      <c r="M9" t="s">
        <v>9</v>
      </c>
    </row>
    <row r="10" spans="1:13" x14ac:dyDescent="0.3">
      <c r="C10" s="4" t="s">
        <v>18</v>
      </c>
      <c r="D10" s="9">
        <v>14</v>
      </c>
      <c r="H10" s="4" t="s">
        <v>18</v>
      </c>
      <c r="I10" s="1">
        <v>35.642857142857146</v>
      </c>
      <c r="L10" s="4" t="s">
        <v>18</v>
      </c>
      <c r="M10" s="1">
        <v>7.4</v>
      </c>
    </row>
    <row r="11" spans="1:13" x14ac:dyDescent="0.3">
      <c r="C11" s="4" t="s">
        <v>19</v>
      </c>
      <c r="D11" s="9">
        <v>21</v>
      </c>
      <c r="H11" s="4" t="s">
        <v>19</v>
      </c>
      <c r="I11" s="1">
        <v>27</v>
      </c>
      <c r="L11" s="4" t="s">
        <v>19</v>
      </c>
      <c r="M11" s="1">
        <v>5.6</v>
      </c>
    </row>
    <row r="12" spans="1:13" x14ac:dyDescent="0.3">
      <c r="A12" t="s">
        <v>2</v>
      </c>
      <c r="C12" s="4" t="s">
        <v>20</v>
      </c>
      <c r="D12" s="9">
        <v>21</v>
      </c>
      <c r="H12" s="4" t="s">
        <v>20</v>
      </c>
      <c r="I12" s="1">
        <v>36.047619047619051</v>
      </c>
      <c r="L12" s="4" t="s">
        <v>20</v>
      </c>
      <c r="M12" s="1">
        <v>6.7142857142857144</v>
      </c>
    </row>
    <row r="13" spans="1:13" x14ac:dyDescent="0.3">
      <c r="A13" t="s">
        <v>0</v>
      </c>
      <c r="C13" s="4" t="s">
        <v>21</v>
      </c>
      <c r="D13" s="9">
        <v>15</v>
      </c>
      <c r="H13" s="4" t="s">
        <v>21</v>
      </c>
      <c r="I13" s="1">
        <v>38.866666666666667</v>
      </c>
      <c r="L13" s="4" t="s">
        <v>21</v>
      </c>
      <c r="M13" s="1">
        <v>6</v>
      </c>
    </row>
    <row r="14" spans="1:13" x14ac:dyDescent="0.3">
      <c r="A14" s="9">
        <v>519</v>
      </c>
      <c r="C14" s="4" t="s">
        <v>22</v>
      </c>
      <c r="D14" s="9">
        <v>11</v>
      </c>
      <c r="H14" s="4" t="s">
        <v>22</v>
      </c>
      <c r="I14" s="1">
        <v>35.909090909090907</v>
      </c>
      <c r="L14" s="4" t="s">
        <v>22</v>
      </c>
      <c r="M14" s="1">
        <v>4</v>
      </c>
    </row>
    <row r="15" spans="1:13" x14ac:dyDescent="0.3">
      <c r="C15" s="4" t="s">
        <v>23</v>
      </c>
      <c r="D15" s="9">
        <v>17</v>
      </c>
      <c r="H15" s="4" t="s">
        <v>23</v>
      </c>
      <c r="I15" s="1">
        <v>38.470588235294116</v>
      </c>
      <c r="L15" s="4" t="s">
        <v>23</v>
      </c>
      <c r="M15" s="1">
        <v>4.7142857142857144</v>
      </c>
    </row>
    <row r="16" spans="1:13" x14ac:dyDescent="0.3">
      <c r="C16" s="4" t="s">
        <v>24</v>
      </c>
      <c r="D16" s="9">
        <v>15</v>
      </c>
      <c r="H16" s="4" t="s">
        <v>24</v>
      </c>
      <c r="I16" s="1">
        <v>36.733333333333334</v>
      </c>
      <c r="L16" s="4" t="s">
        <v>24</v>
      </c>
      <c r="M16" s="1">
        <v>1.8</v>
      </c>
    </row>
    <row r="17" spans="1:13" x14ac:dyDescent="0.3">
      <c r="C17" s="4" t="s">
        <v>25</v>
      </c>
      <c r="D17" s="9">
        <v>17</v>
      </c>
      <c r="H17" s="4" t="s">
        <v>25</v>
      </c>
      <c r="I17" s="1">
        <v>34.588235294117645</v>
      </c>
      <c r="L17" s="4" t="s">
        <v>25</v>
      </c>
      <c r="M17" s="1">
        <v>4.833333333333333</v>
      </c>
    </row>
    <row r="18" spans="1:13" x14ac:dyDescent="0.3">
      <c r="A18" t="s">
        <v>3</v>
      </c>
      <c r="C18" s="4" t="s">
        <v>26</v>
      </c>
      <c r="D18" s="9">
        <v>13</v>
      </c>
      <c r="H18" s="4" t="s">
        <v>26</v>
      </c>
      <c r="I18" s="1">
        <v>37.53846153846154</v>
      </c>
      <c r="L18" s="4" t="s">
        <v>26</v>
      </c>
      <c r="M18" s="1">
        <v>4.25</v>
      </c>
    </row>
    <row r="19" spans="1:13" x14ac:dyDescent="0.3">
      <c r="A19" s="1">
        <v>35.809248554913296</v>
      </c>
      <c r="C19" s="4" t="s">
        <v>27</v>
      </c>
      <c r="D19" s="9">
        <v>24</v>
      </c>
      <c r="H19" s="4" t="s">
        <v>27</v>
      </c>
      <c r="I19" s="1">
        <v>31.708333333333332</v>
      </c>
      <c r="L19" s="4" t="s">
        <v>27</v>
      </c>
      <c r="M19" s="1">
        <v>4.5999999999999996</v>
      </c>
    </row>
    <row r="20" spans="1:13" x14ac:dyDescent="0.3">
      <c r="C20" s="4" t="s">
        <v>28</v>
      </c>
      <c r="D20" s="9">
        <v>13</v>
      </c>
      <c r="H20" s="4" t="s">
        <v>28</v>
      </c>
      <c r="I20" s="1">
        <v>28.923076923076923</v>
      </c>
      <c r="L20" s="4" t="s">
        <v>28</v>
      </c>
      <c r="M20" s="1">
        <v>6.5</v>
      </c>
    </row>
    <row r="21" spans="1:13" x14ac:dyDescent="0.3">
      <c r="C21" s="4" t="s">
        <v>29</v>
      </c>
      <c r="D21" s="9">
        <v>14</v>
      </c>
      <c r="H21" s="4" t="s">
        <v>29</v>
      </c>
      <c r="I21" s="1">
        <v>42.071428571428569</v>
      </c>
      <c r="L21" s="4" t="s">
        <v>29</v>
      </c>
      <c r="M21" s="1">
        <v>5</v>
      </c>
    </row>
    <row r="22" spans="1:13" x14ac:dyDescent="0.3">
      <c r="A22" t="s">
        <v>4</v>
      </c>
      <c r="C22" s="4" t="s">
        <v>30</v>
      </c>
      <c r="D22" s="9">
        <v>12</v>
      </c>
      <c r="H22" s="4" t="s">
        <v>30</v>
      </c>
      <c r="I22" s="1">
        <v>35.833333333333336</v>
      </c>
      <c r="L22" s="4" t="s">
        <v>30</v>
      </c>
      <c r="M22" s="1">
        <v>6</v>
      </c>
    </row>
    <row r="23" spans="1:13" x14ac:dyDescent="0.3">
      <c r="A23" s="1">
        <v>5.1455696202531644</v>
      </c>
      <c r="C23" s="4" t="s">
        <v>31</v>
      </c>
      <c r="D23" s="9">
        <v>11</v>
      </c>
      <c r="H23" s="4" t="s">
        <v>31</v>
      </c>
      <c r="I23" s="1">
        <v>28.727272727272727</v>
      </c>
      <c r="L23" s="4" t="s">
        <v>31</v>
      </c>
      <c r="M23" s="1">
        <v>4.7142857142857144</v>
      </c>
    </row>
    <row r="24" spans="1:13" x14ac:dyDescent="0.3">
      <c r="C24" s="4" t="s">
        <v>32</v>
      </c>
      <c r="D24" s="9">
        <v>16</v>
      </c>
      <c r="H24" s="4" t="s">
        <v>32</v>
      </c>
      <c r="I24" s="1">
        <v>35.75</v>
      </c>
      <c r="L24" s="4" t="s">
        <v>32</v>
      </c>
      <c r="M24" s="1">
        <v>4.2</v>
      </c>
    </row>
    <row r="25" spans="1:13" x14ac:dyDescent="0.3">
      <c r="C25" s="4" t="s">
        <v>33</v>
      </c>
      <c r="D25" s="9">
        <v>20</v>
      </c>
      <c r="H25" s="4" t="s">
        <v>33</v>
      </c>
      <c r="I25" s="1">
        <v>34.75</v>
      </c>
      <c r="L25" s="4" t="s">
        <v>33</v>
      </c>
      <c r="M25" s="1">
        <v>7.2</v>
      </c>
    </row>
    <row r="26" spans="1:13" x14ac:dyDescent="0.3">
      <c r="C26" s="4" t="s">
        <v>34</v>
      </c>
      <c r="D26" s="9">
        <v>15</v>
      </c>
      <c r="H26" s="4" t="s">
        <v>34</v>
      </c>
      <c r="I26" s="1">
        <v>37.666666666666664</v>
      </c>
      <c r="L26" s="4" t="s">
        <v>34</v>
      </c>
      <c r="M26" s="1">
        <v>4.333333333333333</v>
      </c>
    </row>
    <row r="27" spans="1:13" x14ac:dyDescent="0.3">
      <c r="C27" s="4" t="s">
        <v>35</v>
      </c>
      <c r="D27" s="9">
        <v>19</v>
      </c>
      <c r="H27" s="4" t="s">
        <v>35</v>
      </c>
      <c r="I27" s="1">
        <v>40.421052631578945</v>
      </c>
      <c r="L27" s="4" t="s">
        <v>35</v>
      </c>
      <c r="M27" s="1">
        <v>3.7777777777777777</v>
      </c>
    </row>
    <row r="28" spans="1:13" x14ac:dyDescent="0.3">
      <c r="C28" s="4" t="s">
        <v>36</v>
      </c>
      <c r="D28" s="9">
        <v>16</v>
      </c>
      <c r="H28" s="4" t="s">
        <v>36</v>
      </c>
      <c r="I28" s="1">
        <v>33.75</v>
      </c>
      <c r="L28" s="4" t="s">
        <v>36</v>
      </c>
      <c r="M28" s="1">
        <v>3.6666666666666665</v>
      </c>
    </row>
    <row r="29" spans="1:13" x14ac:dyDescent="0.3">
      <c r="C29" s="4" t="s">
        <v>37</v>
      </c>
      <c r="D29" s="9">
        <v>17</v>
      </c>
      <c r="H29" s="4" t="s">
        <v>37</v>
      </c>
      <c r="I29" s="1">
        <v>32.764705882352942</v>
      </c>
      <c r="L29" s="4" t="s">
        <v>37</v>
      </c>
      <c r="M29" s="1">
        <v>4</v>
      </c>
    </row>
    <row r="30" spans="1:13" x14ac:dyDescent="0.3">
      <c r="C30" s="4" t="s">
        <v>38</v>
      </c>
      <c r="D30" s="9">
        <v>28</v>
      </c>
      <c r="H30" s="4" t="s">
        <v>38</v>
      </c>
      <c r="I30" s="1">
        <v>37.357142857142854</v>
      </c>
      <c r="L30" s="4" t="s">
        <v>38</v>
      </c>
      <c r="M30" s="1">
        <v>5.833333333333333</v>
      </c>
    </row>
    <row r="31" spans="1:13" x14ac:dyDescent="0.3">
      <c r="C31" s="4" t="s">
        <v>39</v>
      </c>
      <c r="D31" s="9">
        <v>22</v>
      </c>
      <c r="H31" s="4" t="s">
        <v>39</v>
      </c>
      <c r="I31" s="1">
        <v>37.227272727272727</v>
      </c>
      <c r="L31" s="4" t="s">
        <v>39</v>
      </c>
      <c r="M31" s="1">
        <v>5.666666666666667</v>
      </c>
    </row>
    <row r="32" spans="1:13" x14ac:dyDescent="0.3">
      <c r="C32" s="4" t="s">
        <v>40</v>
      </c>
      <c r="D32" s="9">
        <v>20</v>
      </c>
      <c r="H32" s="4" t="s">
        <v>40</v>
      </c>
      <c r="I32" s="1">
        <v>36.700000000000003</v>
      </c>
      <c r="L32" s="4" t="s">
        <v>40</v>
      </c>
      <c r="M32" s="1">
        <v>5.5</v>
      </c>
    </row>
    <row r="33" spans="1:13" x14ac:dyDescent="0.3">
      <c r="C33" s="4" t="s">
        <v>41</v>
      </c>
      <c r="D33" s="9">
        <v>17</v>
      </c>
      <c r="H33" s="4" t="s">
        <v>41</v>
      </c>
      <c r="I33" s="1">
        <v>43.058823529411768</v>
      </c>
      <c r="L33" s="4" t="s">
        <v>41</v>
      </c>
      <c r="M33" s="1">
        <v>5.5</v>
      </c>
    </row>
    <row r="34" spans="1:13" x14ac:dyDescent="0.3">
      <c r="C34" s="4" t="s">
        <v>42</v>
      </c>
      <c r="D34" s="9">
        <v>18</v>
      </c>
      <c r="H34" s="4" t="s">
        <v>42</v>
      </c>
      <c r="I34" s="1">
        <v>39.777777777777779</v>
      </c>
      <c r="L34" s="4" t="s">
        <v>42</v>
      </c>
      <c r="M34" s="1">
        <v>7</v>
      </c>
    </row>
    <row r="35" spans="1:13" x14ac:dyDescent="0.3">
      <c r="C35" s="4" t="s">
        <v>43</v>
      </c>
      <c r="D35" s="9">
        <v>13</v>
      </c>
      <c r="H35" s="4" t="s">
        <v>43</v>
      </c>
      <c r="I35" s="1">
        <v>40.692307692307693</v>
      </c>
      <c r="L35" s="4" t="s">
        <v>43</v>
      </c>
      <c r="M35" s="1">
        <v>7</v>
      </c>
    </row>
    <row r="36" spans="1:13" x14ac:dyDescent="0.3">
      <c r="C36" s="4" t="s">
        <v>44</v>
      </c>
      <c r="D36" s="9">
        <v>13</v>
      </c>
      <c r="H36" s="4" t="s">
        <v>44</v>
      </c>
      <c r="I36" s="1">
        <v>34.46153846153846</v>
      </c>
      <c r="L36" s="4" t="s">
        <v>44</v>
      </c>
      <c r="M36" s="1">
        <v>4</v>
      </c>
    </row>
    <row r="37" spans="1:13" x14ac:dyDescent="0.3">
      <c r="C37" s="4" t="s">
        <v>45</v>
      </c>
      <c r="D37" s="9">
        <v>13</v>
      </c>
      <c r="H37" s="4" t="s">
        <v>45</v>
      </c>
      <c r="I37" s="1">
        <v>30.307692307692307</v>
      </c>
      <c r="L37" s="4" t="s">
        <v>45</v>
      </c>
      <c r="M37" s="1">
        <v>4.4444444444444446</v>
      </c>
    </row>
    <row r="38" spans="1:13" x14ac:dyDescent="0.3">
      <c r="C38" s="4" t="s">
        <v>46</v>
      </c>
      <c r="D38" s="9">
        <v>20</v>
      </c>
      <c r="H38" s="4" t="s">
        <v>46</v>
      </c>
      <c r="I38" s="1">
        <v>38.5</v>
      </c>
      <c r="L38" s="4" t="s">
        <v>46</v>
      </c>
      <c r="M38" s="1">
        <v>4.8571428571428568</v>
      </c>
    </row>
    <row r="39" spans="1:13" x14ac:dyDescent="0.3">
      <c r="C39" s="4" t="s">
        <v>47</v>
      </c>
      <c r="D39" s="9">
        <v>15</v>
      </c>
      <c r="H39" s="4" t="s">
        <v>47</v>
      </c>
      <c r="I39" s="1">
        <v>35.333333333333336</v>
      </c>
      <c r="L39" s="4" t="s">
        <v>47</v>
      </c>
      <c r="M39" s="1">
        <v>5.5714285714285712</v>
      </c>
    </row>
    <row r="40" spans="1:13" x14ac:dyDescent="0.3">
      <c r="C40" s="4" t="s">
        <v>48</v>
      </c>
      <c r="D40" s="9">
        <v>19</v>
      </c>
      <c r="H40" s="4" t="s">
        <v>48</v>
      </c>
      <c r="I40" s="1">
        <v>32.421052631578945</v>
      </c>
      <c r="L40" s="4" t="s">
        <v>48</v>
      </c>
      <c r="M40" s="1">
        <v>6</v>
      </c>
    </row>
    <row r="41" spans="1:13" x14ac:dyDescent="0.3">
      <c r="C41" s="4" t="s">
        <v>6</v>
      </c>
      <c r="D41" s="9">
        <v>519</v>
      </c>
      <c r="H41" s="4" t="s">
        <v>6</v>
      </c>
      <c r="I41" s="9">
        <v>35.809248554913296</v>
      </c>
      <c r="L41" s="4" t="s">
        <v>6</v>
      </c>
      <c r="M41" s="9">
        <v>5.1455696202531644</v>
      </c>
    </row>
    <row r="43" spans="1:13" x14ac:dyDescent="0.3">
      <c r="A43" s="3" t="s">
        <v>5</v>
      </c>
      <c r="B43" t="s">
        <v>13</v>
      </c>
      <c r="C43" t="s">
        <v>14</v>
      </c>
    </row>
    <row r="44" spans="1:13" x14ac:dyDescent="0.3">
      <c r="A44" s="4" t="s">
        <v>11</v>
      </c>
      <c r="B44" s="1">
        <v>266</v>
      </c>
      <c r="C44" s="7">
        <v>0.51252408477842004</v>
      </c>
    </row>
    <row r="45" spans="1:13" x14ac:dyDescent="0.3">
      <c r="A45" s="4" t="s">
        <v>12</v>
      </c>
      <c r="B45" s="1">
        <v>253</v>
      </c>
      <c r="C45" s="7">
        <v>0.48747591522157996</v>
      </c>
    </row>
    <row r="46" spans="1:13" x14ac:dyDescent="0.3">
      <c r="A46" s="4" t="s">
        <v>6</v>
      </c>
      <c r="B46" s="1">
        <v>519</v>
      </c>
      <c r="C46" s="7">
        <v>1</v>
      </c>
      <c r="E46" t="s">
        <v>17</v>
      </c>
    </row>
    <row r="49" spans="1:5" ht="18" x14ac:dyDescent="0.35">
      <c r="A49" s="12" t="s">
        <v>15</v>
      </c>
      <c r="B49" s="12" t="s">
        <v>2</v>
      </c>
      <c r="C49" s="12" t="s">
        <v>16</v>
      </c>
      <c r="D49" s="8"/>
    </row>
    <row r="50" spans="1:5" ht="18" x14ac:dyDescent="0.35">
      <c r="A50" s="13" t="str">
        <f>A45</f>
        <v>Not Admitted</v>
      </c>
      <c r="B50" s="13">
        <f>B45</f>
        <v>253</v>
      </c>
      <c r="C50" s="14">
        <f>C45</f>
        <v>0.48747591522157996</v>
      </c>
    </row>
    <row r="51" spans="1:5" ht="18" x14ac:dyDescent="0.35">
      <c r="A51" s="13" t="str">
        <f>A44</f>
        <v>Admitted</v>
      </c>
      <c r="B51" s="13">
        <f>B44</f>
        <v>266</v>
      </c>
      <c r="C51" s="14">
        <f>C44</f>
        <v>0.51252408477842004</v>
      </c>
    </row>
    <row r="53" spans="1:5" x14ac:dyDescent="0.3">
      <c r="A53" t="s">
        <v>58</v>
      </c>
      <c r="D53" t="s">
        <v>62</v>
      </c>
    </row>
    <row r="54" spans="1:5" x14ac:dyDescent="0.3">
      <c r="A54" s="3" t="s">
        <v>5</v>
      </c>
      <c r="B54" t="s">
        <v>57</v>
      </c>
      <c r="D54" s="3" t="s">
        <v>5</v>
      </c>
      <c r="E54" t="s">
        <v>61</v>
      </c>
    </row>
    <row r="55" spans="1:5" x14ac:dyDescent="0.3">
      <c r="A55" s="4" t="s">
        <v>49</v>
      </c>
      <c r="B55" s="1">
        <v>73</v>
      </c>
      <c r="D55" s="4" t="s">
        <v>59</v>
      </c>
      <c r="E55" s="10">
        <v>324</v>
      </c>
    </row>
    <row r="56" spans="1:5" x14ac:dyDescent="0.3">
      <c r="A56" s="4" t="s">
        <v>50</v>
      </c>
      <c r="B56" s="1">
        <v>64</v>
      </c>
      <c r="D56" s="4" t="s">
        <v>60</v>
      </c>
      <c r="E56" s="10">
        <v>195</v>
      </c>
    </row>
    <row r="57" spans="1:5" x14ac:dyDescent="0.3">
      <c r="A57" s="4" t="s">
        <v>51</v>
      </c>
      <c r="B57" s="1">
        <v>74</v>
      </c>
      <c r="D57" s="4" t="s">
        <v>6</v>
      </c>
      <c r="E57" s="1">
        <v>519</v>
      </c>
    </row>
    <row r="58" spans="1:5" x14ac:dyDescent="0.3">
      <c r="A58" s="4" t="s">
        <v>52</v>
      </c>
      <c r="B58" s="1">
        <v>71</v>
      </c>
    </row>
    <row r="59" spans="1:5" x14ac:dyDescent="0.3">
      <c r="A59" s="4" t="s">
        <v>53</v>
      </c>
      <c r="B59" s="1">
        <v>58</v>
      </c>
      <c r="D59" s="4" t="s">
        <v>72</v>
      </c>
    </row>
    <row r="60" spans="1:5" x14ac:dyDescent="0.3">
      <c r="A60" s="4" t="s">
        <v>54</v>
      </c>
      <c r="B60" s="1">
        <v>68</v>
      </c>
      <c r="D60" s="3" t="s">
        <v>5</v>
      </c>
      <c r="E60" t="s">
        <v>71</v>
      </c>
    </row>
    <row r="61" spans="1:5" x14ac:dyDescent="0.3">
      <c r="A61" s="4" t="s">
        <v>55</v>
      </c>
      <c r="B61" s="1">
        <v>62</v>
      </c>
      <c r="D61" s="4" t="s">
        <v>65</v>
      </c>
      <c r="E61" s="1">
        <v>11</v>
      </c>
    </row>
    <row r="62" spans="1:5" x14ac:dyDescent="0.3">
      <c r="A62" s="4" t="s">
        <v>56</v>
      </c>
      <c r="B62" s="1">
        <v>49</v>
      </c>
      <c r="D62" s="4" t="s">
        <v>66</v>
      </c>
      <c r="E62" s="1">
        <v>8</v>
      </c>
    </row>
    <row r="63" spans="1:5" x14ac:dyDescent="0.3">
      <c r="A63" s="4" t="s">
        <v>6</v>
      </c>
      <c r="B63" s="1">
        <v>519</v>
      </c>
      <c r="D63" s="4" t="s">
        <v>67</v>
      </c>
      <c r="E63" s="1">
        <v>102</v>
      </c>
    </row>
    <row r="64" spans="1:5" x14ac:dyDescent="0.3">
      <c r="D64" s="4" t="s">
        <v>63</v>
      </c>
      <c r="E64" s="1">
        <v>16</v>
      </c>
    </row>
    <row r="65" spans="1:5" x14ac:dyDescent="0.3">
      <c r="D65" s="4" t="s">
        <v>64</v>
      </c>
      <c r="E65" s="1">
        <v>313</v>
      </c>
    </row>
    <row r="66" spans="1:5" x14ac:dyDescent="0.3">
      <c r="A66" s="3" t="s">
        <v>5</v>
      </c>
      <c r="D66" s="4" t="s">
        <v>68</v>
      </c>
      <c r="E66" s="1">
        <v>51</v>
      </c>
    </row>
    <row r="67" spans="1:5" x14ac:dyDescent="0.3">
      <c r="A67" s="4" t="s">
        <v>73</v>
      </c>
      <c r="D67" s="4" t="s">
        <v>69</v>
      </c>
      <c r="E67" s="1">
        <v>15</v>
      </c>
    </row>
    <row r="68" spans="1:5" x14ac:dyDescent="0.3">
      <c r="A68" s="4" t="s">
        <v>6</v>
      </c>
      <c r="D68" s="4" t="s">
        <v>70</v>
      </c>
      <c r="E68" s="1">
        <v>3</v>
      </c>
    </row>
    <row r="69" spans="1:5" x14ac:dyDescent="0.3">
      <c r="D69" s="4" t="s">
        <v>6</v>
      </c>
      <c r="E69" s="1">
        <v>519</v>
      </c>
    </row>
  </sheetData>
  <pageMargins left="0.7" right="0.7" top="0.75" bottom="0.75" header="0.3" footer="0.3"/>
  <pageSetup orientation="portrait" r:id="rId12"/>
  <drawing r:id="rId1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C24650-9DBA-46A2-BDBC-3F0428A9ACBC}">
  <dimension ref="A1:P27"/>
  <sheetViews>
    <sheetView tabSelected="1" zoomScale="83" zoomScaleNormal="94" workbookViewId="0">
      <selection activeCell="Q4" sqref="Q4"/>
    </sheetView>
  </sheetViews>
  <sheetFormatPr defaultRowHeight="14.4" x14ac:dyDescent="0.3"/>
  <sheetData>
    <row r="1" spans="1:16" x14ac:dyDescent="0.3">
      <c r="A1" s="2"/>
      <c r="B1" s="2"/>
      <c r="C1" s="2"/>
      <c r="D1" s="2"/>
      <c r="E1" s="2"/>
      <c r="F1" s="2"/>
      <c r="G1" s="2"/>
      <c r="H1" s="2"/>
      <c r="I1" s="2"/>
      <c r="J1" s="2"/>
      <c r="K1" s="2"/>
      <c r="L1" s="2"/>
      <c r="M1" s="2"/>
      <c r="N1" s="11"/>
      <c r="O1" s="11"/>
      <c r="P1" s="11"/>
    </row>
    <row r="2" spans="1:16" x14ac:dyDescent="0.3">
      <c r="A2" s="2"/>
      <c r="B2" s="2"/>
      <c r="C2" s="2"/>
      <c r="D2" s="2"/>
      <c r="E2" s="2"/>
      <c r="F2" s="2"/>
      <c r="G2" s="2"/>
      <c r="H2" s="2"/>
      <c r="I2" s="2"/>
      <c r="J2" s="2"/>
      <c r="K2" s="2"/>
      <c r="L2" s="2"/>
      <c r="M2" s="2"/>
      <c r="N2" s="11"/>
      <c r="O2" s="11"/>
      <c r="P2" s="11"/>
    </row>
    <row r="3" spans="1:16" x14ac:dyDescent="0.3">
      <c r="A3" s="2"/>
      <c r="B3" s="2"/>
      <c r="C3" s="2"/>
      <c r="D3" s="2"/>
      <c r="E3" s="2"/>
      <c r="F3" s="2"/>
      <c r="G3" s="2"/>
      <c r="H3" s="2"/>
      <c r="I3" s="2"/>
      <c r="J3" s="2"/>
      <c r="K3" s="2"/>
      <c r="L3" s="2"/>
      <c r="M3" s="2"/>
      <c r="N3" s="11"/>
      <c r="O3" s="11"/>
      <c r="P3" s="11"/>
    </row>
    <row r="4" spans="1:16" x14ac:dyDescent="0.3">
      <c r="A4" s="2"/>
      <c r="B4" s="2"/>
      <c r="C4" s="2"/>
      <c r="D4" s="2"/>
      <c r="E4" s="2"/>
      <c r="F4" s="2"/>
      <c r="G4" s="2"/>
      <c r="H4" s="2"/>
      <c r="I4" s="2"/>
      <c r="J4" s="2"/>
      <c r="K4" s="2"/>
      <c r="L4" s="2"/>
      <c r="M4" s="2"/>
      <c r="N4" s="11"/>
      <c r="O4" s="11"/>
      <c r="P4" s="11"/>
    </row>
    <row r="5" spans="1:16" x14ac:dyDescent="0.3">
      <c r="A5" s="2"/>
      <c r="B5" s="2"/>
      <c r="C5" s="2"/>
      <c r="D5" s="2"/>
      <c r="E5" s="2"/>
      <c r="F5" s="2"/>
      <c r="G5" s="2"/>
      <c r="H5" s="2"/>
      <c r="I5" s="2"/>
      <c r="J5" s="2"/>
      <c r="K5" s="2"/>
      <c r="L5" s="2"/>
      <c r="M5" s="2"/>
      <c r="N5" s="11"/>
      <c r="O5" s="11"/>
      <c r="P5" s="11"/>
    </row>
    <row r="6" spans="1:16" x14ac:dyDescent="0.3">
      <c r="A6" s="2"/>
      <c r="B6" s="2"/>
      <c r="C6" s="2"/>
      <c r="D6" s="2"/>
      <c r="E6" s="2"/>
      <c r="F6" s="2"/>
      <c r="G6" s="2"/>
      <c r="H6" s="2"/>
      <c r="I6" s="2"/>
      <c r="J6" s="2"/>
      <c r="K6" s="2"/>
      <c r="L6" s="2"/>
      <c r="M6" s="2"/>
      <c r="N6" s="11"/>
      <c r="O6" s="11"/>
      <c r="P6" s="11"/>
    </row>
    <row r="7" spans="1:16" x14ac:dyDescent="0.3">
      <c r="A7" s="2"/>
      <c r="B7" s="2"/>
      <c r="C7" s="2"/>
      <c r="D7" s="2"/>
      <c r="E7" s="2"/>
      <c r="F7" s="2"/>
      <c r="G7" s="2"/>
      <c r="H7" s="2"/>
      <c r="I7" s="2"/>
      <c r="J7" s="2"/>
      <c r="K7" s="2"/>
      <c r="L7" s="2"/>
      <c r="M7" s="2"/>
      <c r="N7" s="11"/>
      <c r="O7" s="11"/>
      <c r="P7" s="11"/>
    </row>
    <row r="8" spans="1:16" x14ac:dyDescent="0.3">
      <c r="A8" s="2"/>
      <c r="B8" s="2"/>
      <c r="C8" s="2"/>
      <c r="D8" s="2"/>
      <c r="E8" s="2"/>
      <c r="F8" s="2"/>
      <c r="G8" s="2"/>
      <c r="H8" s="2"/>
      <c r="I8" s="2"/>
      <c r="J8" s="2"/>
      <c r="K8" s="2"/>
      <c r="L8" s="2"/>
      <c r="M8" s="2"/>
      <c r="N8" s="11"/>
      <c r="O8" s="11"/>
      <c r="P8" s="11"/>
    </row>
    <row r="9" spans="1:16" x14ac:dyDescent="0.3">
      <c r="A9" s="2"/>
      <c r="B9" s="2"/>
      <c r="C9" s="2"/>
      <c r="D9" s="2"/>
      <c r="E9" s="2"/>
      <c r="F9" s="2"/>
      <c r="G9" s="2"/>
      <c r="H9" s="2"/>
      <c r="I9" s="2"/>
      <c r="J9" s="2"/>
      <c r="K9" s="2"/>
      <c r="L9" s="2"/>
      <c r="M9" s="2"/>
      <c r="N9" s="11"/>
      <c r="O9" s="11"/>
      <c r="P9" s="11"/>
    </row>
    <row r="10" spans="1:16" x14ac:dyDescent="0.3">
      <c r="A10" s="2"/>
      <c r="B10" s="2"/>
      <c r="C10" s="2"/>
      <c r="D10" s="2"/>
      <c r="E10" s="2"/>
      <c r="F10" s="2"/>
      <c r="G10" s="2"/>
      <c r="H10" s="2"/>
      <c r="I10" s="2"/>
      <c r="J10" s="2"/>
      <c r="K10" s="2"/>
      <c r="L10" s="2"/>
      <c r="M10" s="2"/>
      <c r="N10" s="11"/>
      <c r="O10" s="11"/>
      <c r="P10" s="11"/>
    </row>
    <row r="11" spans="1:16" x14ac:dyDescent="0.3">
      <c r="A11" s="2"/>
      <c r="B11" s="2"/>
      <c r="C11" s="2"/>
      <c r="D11" s="2"/>
      <c r="E11" s="2"/>
      <c r="F11" s="2"/>
      <c r="G11" s="2"/>
      <c r="H11" s="2"/>
      <c r="I11" s="2"/>
      <c r="J11" s="2"/>
      <c r="K11" s="2"/>
      <c r="L11" s="2"/>
      <c r="M11" s="2"/>
      <c r="N11" s="11"/>
      <c r="O11" s="11"/>
      <c r="P11" s="11"/>
    </row>
    <row r="12" spans="1:16" x14ac:dyDescent="0.3">
      <c r="A12" s="2"/>
      <c r="B12" s="2"/>
      <c r="C12" s="2"/>
      <c r="D12" s="2"/>
      <c r="E12" s="2"/>
      <c r="F12" s="2"/>
      <c r="G12" s="2"/>
      <c r="H12" s="2"/>
      <c r="I12" s="2"/>
      <c r="J12" s="2"/>
      <c r="K12" s="2"/>
      <c r="L12" s="2"/>
      <c r="M12" s="2"/>
      <c r="N12" s="11"/>
      <c r="O12" s="11"/>
      <c r="P12" s="11"/>
    </row>
    <row r="13" spans="1:16" x14ac:dyDescent="0.3">
      <c r="A13" s="2"/>
      <c r="B13" s="2"/>
      <c r="C13" s="2"/>
      <c r="D13" s="2"/>
      <c r="E13" s="2"/>
      <c r="F13" s="2"/>
      <c r="G13" s="2"/>
      <c r="H13" s="2"/>
      <c r="I13" s="2"/>
      <c r="J13" s="2"/>
      <c r="K13" s="2"/>
      <c r="L13" s="2"/>
      <c r="M13" s="2"/>
      <c r="N13" s="11"/>
      <c r="O13" s="11"/>
      <c r="P13" s="11"/>
    </row>
    <row r="14" spans="1:16" x14ac:dyDescent="0.3">
      <c r="A14" s="2"/>
      <c r="B14" s="2"/>
      <c r="C14" s="2"/>
      <c r="D14" s="2"/>
      <c r="E14" s="2"/>
      <c r="F14" s="2"/>
      <c r="G14" s="2"/>
      <c r="H14" s="2"/>
      <c r="I14" s="2"/>
      <c r="J14" s="2"/>
      <c r="K14" s="2"/>
      <c r="L14" s="2"/>
      <c r="M14" s="2"/>
      <c r="N14" s="11"/>
      <c r="O14" s="11"/>
      <c r="P14" s="11"/>
    </row>
    <row r="15" spans="1:16" x14ac:dyDescent="0.3">
      <c r="A15" s="2"/>
      <c r="B15" s="2"/>
      <c r="C15" s="2"/>
      <c r="D15" s="2"/>
      <c r="E15" s="2"/>
      <c r="F15" s="2"/>
      <c r="G15" s="2"/>
      <c r="H15" s="2"/>
      <c r="I15" s="2"/>
      <c r="J15" s="2"/>
      <c r="K15" s="2"/>
      <c r="L15" s="2"/>
      <c r="M15" s="2"/>
      <c r="N15" s="11"/>
      <c r="O15" s="11"/>
      <c r="P15" s="11"/>
    </row>
    <row r="16" spans="1:16" x14ac:dyDescent="0.3">
      <c r="A16" s="2"/>
      <c r="B16" s="2"/>
      <c r="C16" s="2"/>
      <c r="D16" s="2"/>
      <c r="E16" s="2"/>
      <c r="F16" s="2"/>
      <c r="G16" s="2"/>
      <c r="H16" s="2"/>
      <c r="I16" s="2"/>
      <c r="J16" s="2"/>
      <c r="K16" s="2"/>
      <c r="L16" s="2"/>
      <c r="M16" s="2"/>
      <c r="N16" s="11"/>
      <c r="O16" s="11"/>
      <c r="P16" s="11"/>
    </row>
    <row r="17" spans="1:16" x14ac:dyDescent="0.3">
      <c r="A17" s="11"/>
      <c r="B17" s="11"/>
      <c r="C17" s="11"/>
      <c r="D17" s="11"/>
      <c r="E17" s="11"/>
      <c r="F17" s="11"/>
      <c r="G17" s="11"/>
      <c r="H17" s="11"/>
      <c r="I17" s="11"/>
      <c r="J17" s="11"/>
      <c r="K17" s="11"/>
      <c r="L17" s="11"/>
      <c r="M17" s="11"/>
      <c r="N17" s="11"/>
      <c r="O17" s="11"/>
      <c r="P17" s="11"/>
    </row>
    <row r="18" spans="1:16" x14ac:dyDescent="0.3">
      <c r="A18" s="11"/>
      <c r="B18" s="11"/>
      <c r="C18" s="11"/>
      <c r="D18" s="11"/>
      <c r="E18" s="11"/>
      <c r="F18" s="11"/>
      <c r="G18" s="11"/>
      <c r="H18" s="11"/>
      <c r="I18" s="11"/>
      <c r="J18" s="11"/>
      <c r="K18" s="11"/>
      <c r="L18" s="11"/>
      <c r="M18" s="11"/>
      <c r="N18" s="11"/>
      <c r="O18" s="11"/>
      <c r="P18" s="11"/>
    </row>
    <row r="19" spans="1:16" x14ac:dyDescent="0.3">
      <c r="A19" s="11"/>
      <c r="B19" s="11"/>
      <c r="C19" s="11"/>
      <c r="D19" s="11"/>
      <c r="E19" s="11"/>
      <c r="F19" s="11"/>
      <c r="G19" s="11"/>
      <c r="H19" s="11"/>
      <c r="I19" s="11"/>
      <c r="J19" s="11"/>
      <c r="K19" s="11"/>
      <c r="L19" s="11"/>
      <c r="M19" s="11"/>
      <c r="N19" s="11"/>
      <c r="O19" s="11"/>
      <c r="P19" s="11"/>
    </row>
    <row r="20" spans="1:16" x14ac:dyDescent="0.3">
      <c r="A20" s="11"/>
      <c r="B20" s="11"/>
      <c r="C20" s="11"/>
      <c r="D20" s="11"/>
      <c r="E20" s="11"/>
      <c r="F20" s="11"/>
      <c r="G20" s="11"/>
      <c r="H20" s="11"/>
      <c r="I20" s="11"/>
      <c r="J20" s="11"/>
      <c r="K20" s="11"/>
      <c r="L20" s="11"/>
      <c r="M20" s="11"/>
      <c r="N20" s="11"/>
      <c r="O20" s="11"/>
      <c r="P20" s="11"/>
    </row>
    <row r="21" spans="1:16" x14ac:dyDescent="0.3">
      <c r="A21" s="11"/>
      <c r="B21" s="11"/>
      <c r="C21" s="11"/>
      <c r="D21" s="11"/>
      <c r="E21" s="11"/>
      <c r="F21" s="11"/>
      <c r="G21" s="11"/>
      <c r="H21" s="11"/>
      <c r="I21" s="11"/>
      <c r="J21" s="11"/>
      <c r="K21" s="11"/>
      <c r="L21" s="11"/>
      <c r="M21" s="11"/>
      <c r="N21" s="11"/>
      <c r="O21" s="11"/>
      <c r="P21" s="11"/>
    </row>
    <row r="22" spans="1:16" x14ac:dyDescent="0.3">
      <c r="A22" s="11"/>
      <c r="B22" s="11"/>
      <c r="C22" s="11"/>
      <c r="D22" s="11"/>
      <c r="E22" s="11"/>
      <c r="F22" s="11"/>
      <c r="G22" s="11"/>
      <c r="H22" s="11"/>
      <c r="I22" s="11"/>
      <c r="J22" s="11"/>
      <c r="K22" s="11"/>
      <c r="L22" s="11"/>
      <c r="M22" s="11"/>
      <c r="N22" s="11"/>
      <c r="O22" s="11"/>
      <c r="P22" s="11"/>
    </row>
    <row r="23" spans="1:16" x14ac:dyDescent="0.3">
      <c r="A23" s="11"/>
      <c r="B23" s="11"/>
      <c r="C23" s="11"/>
      <c r="D23" s="11"/>
      <c r="E23" s="11"/>
      <c r="F23" s="11"/>
      <c r="G23" s="11"/>
      <c r="H23" s="11"/>
      <c r="I23" s="11"/>
      <c r="J23" s="11"/>
      <c r="K23" s="11"/>
      <c r="L23" s="11"/>
      <c r="M23" s="11"/>
      <c r="N23" s="11"/>
      <c r="O23" s="11"/>
      <c r="P23" s="11"/>
    </row>
    <row r="24" spans="1:16" x14ac:dyDescent="0.3">
      <c r="A24" s="11"/>
      <c r="B24" s="11"/>
      <c r="C24" s="11"/>
      <c r="D24" s="11"/>
      <c r="E24" s="11"/>
      <c r="F24" s="11"/>
      <c r="G24" s="11"/>
      <c r="H24" s="11"/>
      <c r="I24" s="11"/>
      <c r="J24" s="11"/>
      <c r="K24" s="11"/>
      <c r="L24" s="11"/>
      <c r="M24" s="11"/>
      <c r="N24" s="11"/>
      <c r="O24" s="11"/>
      <c r="P24" s="11"/>
    </row>
    <row r="25" spans="1:16" x14ac:dyDescent="0.3">
      <c r="A25" s="11"/>
      <c r="B25" s="11"/>
      <c r="C25" s="11"/>
      <c r="D25" s="11"/>
      <c r="E25" s="11"/>
      <c r="F25" s="11"/>
      <c r="G25" s="11"/>
      <c r="H25" s="11"/>
      <c r="I25" s="11"/>
      <c r="J25" s="11"/>
      <c r="K25" s="11"/>
      <c r="L25" s="11"/>
      <c r="M25" s="11"/>
      <c r="N25" s="11"/>
      <c r="O25" s="11"/>
      <c r="P25" s="11"/>
    </row>
    <row r="26" spans="1:16" x14ac:dyDescent="0.3">
      <c r="A26" s="11"/>
      <c r="B26" s="11"/>
      <c r="C26" s="11"/>
      <c r="D26" s="11"/>
      <c r="E26" s="11"/>
      <c r="F26" s="11"/>
      <c r="G26" s="11"/>
      <c r="H26" s="11"/>
      <c r="I26" s="11"/>
      <c r="J26" s="11"/>
      <c r="K26" s="11"/>
      <c r="L26" s="11"/>
      <c r="M26" s="11"/>
      <c r="N26" s="11"/>
      <c r="O26" s="11"/>
      <c r="P26" s="11"/>
    </row>
    <row r="27" spans="1:16" x14ac:dyDescent="0.3">
      <c r="A27" s="11"/>
      <c r="B27" s="11"/>
      <c r="C27" s="11"/>
      <c r="D27" s="11"/>
      <c r="E27" s="11"/>
      <c r="F27" s="11"/>
      <c r="G27" s="11"/>
      <c r="H27" s="11"/>
      <c r="I27" s="11"/>
      <c r="J27" s="11"/>
      <c r="K27" s="11"/>
      <c r="L27" s="11"/>
      <c r="M27" s="11"/>
      <c r="N27" s="11"/>
      <c r="O27" s="11"/>
      <c r="P27" s="11"/>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7EC74-D9C2-4A41-B9E1-865B7C6B4AEC}">
  <dimension ref="A2:R28"/>
  <sheetViews>
    <sheetView zoomScale="77" workbookViewId="0"/>
  </sheetViews>
  <sheetFormatPr defaultRowHeight="14.4" x14ac:dyDescent="0.3"/>
  <sheetData>
    <row r="2" spans="1:18" x14ac:dyDescent="0.3">
      <c r="A2" s="5"/>
      <c r="B2" s="5"/>
      <c r="C2" s="5"/>
      <c r="D2" s="5"/>
      <c r="E2" s="5"/>
      <c r="F2" s="5"/>
      <c r="G2" s="5"/>
      <c r="H2" s="5"/>
      <c r="I2" s="5"/>
      <c r="J2" s="5"/>
      <c r="K2" s="5"/>
      <c r="L2" s="5"/>
      <c r="M2" s="5"/>
      <c r="N2" s="5"/>
      <c r="O2" s="5"/>
      <c r="P2" s="5"/>
      <c r="Q2" s="5"/>
      <c r="R2" s="5"/>
    </row>
    <row r="3" spans="1:18" x14ac:dyDescent="0.3">
      <c r="A3" s="5"/>
      <c r="B3" s="5"/>
      <c r="C3" s="5"/>
      <c r="D3" s="5"/>
      <c r="E3" s="5"/>
      <c r="F3" s="5"/>
      <c r="G3" s="5"/>
      <c r="H3" s="5"/>
      <c r="I3" s="5"/>
      <c r="J3" s="5"/>
      <c r="K3" s="5"/>
      <c r="L3" s="5"/>
      <c r="M3" s="5"/>
      <c r="N3" s="5"/>
      <c r="O3" s="5"/>
      <c r="P3" s="5"/>
      <c r="Q3" s="5"/>
      <c r="R3" s="5"/>
    </row>
    <row r="4" spans="1:18" x14ac:dyDescent="0.3">
      <c r="A4" s="5"/>
      <c r="B4" s="5"/>
      <c r="C4" s="5"/>
      <c r="D4" s="5"/>
      <c r="E4" s="5"/>
      <c r="F4" s="5"/>
      <c r="G4" s="5"/>
      <c r="H4" s="5"/>
      <c r="I4" s="5"/>
      <c r="J4" s="5"/>
      <c r="K4" s="5"/>
      <c r="L4" s="5"/>
      <c r="M4" s="5"/>
      <c r="N4" s="5"/>
      <c r="O4" s="5"/>
      <c r="P4" s="5"/>
      <c r="Q4" s="5"/>
      <c r="R4" s="5"/>
    </row>
    <row r="5" spans="1:18" x14ac:dyDescent="0.3">
      <c r="A5" s="5"/>
      <c r="B5" s="5"/>
      <c r="C5" s="5"/>
      <c r="D5" s="5"/>
      <c r="E5" s="5"/>
      <c r="F5" s="5"/>
      <c r="G5" s="5"/>
      <c r="H5" s="5"/>
      <c r="I5" s="5"/>
      <c r="J5" s="5"/>
      <c r="K5" s="5"/>
      <c r="L5" s="5"/>
      <c r="M5" s="5"/>
      <c r="N5" s="5"/>
      <c r="O5" s="5"/>
      <c r="P5" s="5"/>
      <c r="Q5" s="5"/>
      <c r="R5" s="5"/>
    </row>
    <row r="6" spans="1:18" x14ac:dyDescent="0.3">
      <c r="A6" s="5"/>
      <c r="B6" s="5"/>
      <c r="C6" s="5"/>
      <c r="D6" s="5"/>
      <c r="E6" s="5"/>
      <c r="F6" s="5"/>
      <c r="G6" s="5"/>
      <c r="H6" s="5"/>
      <c r="I6" s="5"/>
      <c r="J6" s="5"/>
      <c r="K6" s="5"/>
      <c r="L6" s="5"/>
      <c r="M6" s="5"/>
      <c r="N6" s="5"/>
      <c r="O6" s="5"/>
      <c r="P6" s="5"/>
      <c r="Q6" s="5"/>
      <c r="R6" s="5"/>
    </row>
    <row r="7" spans="1:18" x14ac:dyDescent="0.3">
      <c r="A7" s="5"/>
      <c r="B7" s="5"/>
      <c r="C7" s="5"/>
      <c r="D7" s="5"/>
      <c r="E7" s="5"/>
      <c r="F7" s="5"/>
      <c r="G7" s="5"/>
      <c r="H7" s="5"/>
      <c r="I7" s="5"/>
      <c r="J7" s="5"/>
      <c r="K7" s="5"/>
      <c r="L7" s="5"/>
      <c r="M7" s="5"/>
      <c r="N7" s="5"/>
      <c r="O7" s="5"/>
      <c r="P7" s="5"/>
      <c r="Q7" s="5"/>
      <c r="R7" s="5"/>
    </row>
    <row r="8" spans="1:18" x14ac:dyDescent="0.3">
      <c r="A8" s="5"/>
      <c r="B8" s="5"/>
      <c r="C8" s="5"/>
      <c r="D8" s="5"/>
      <c r="E8" s="5"/>
      <c r="F8" s="5"/>
      <c r="G8" s="5"/>
      <c r="H8" s="5"/>
      <c r="I8" s="5"/>
      <c r="J8" s="5"/>
      <c r="K8" s="5"/>
      <c r="L8" s="5"/>
      <c r="M8" s="5"/>
      <c r="N8" s="5"/>
      <c r="O8" s="5"/>
      <c r="P8" s="5"/>
      <c r="Q8" s="5"/>
      <c r="R8" s="5"/>
    </row>
    <row r="9" spans="1:18" x14ac:dyDescent="0.3">
      <c r="A9" s="5"/>
      <c r="B9" s="5"/>
      <c r="C9" s="5"/>
      <c r="D9" s="5"/>
      <c r="E9" s="5"/>
      <c r="F9" s="5"/>
      <c r="G9" s="5"/>
      <c r="H9" s="5"/>
      <c r="I9" s="5"/>
      <c r="J9" s="5"/>
      <c r="K9" s="5"/>
      <c r="L9" s="5"/>
      <c r="M9" s="5"/>
      <c r="N9" s="5"/>
      <c r="O9" s="5"/>
      <c r="P9" s="5"/>
      <c r="Q9" s="5"/>
      <c r="R9" s="5"/>
    </row>
    <row r="10" spans="1:18" x14ac:dyDescent="0.3">
      <c r="A10" s="5"/>
      <c r="B10" s="5"/>
      <c r="C10" s="5"/>
      <c r="D10" s="5"/>
      <c r="E10" s="5"/>
      <c r="F10" s="5"/>
      <c r="G10" s="5"/>
      <c r="H10" s="5"/>
      <c r="I10" s="5"/>
      <c r="J10" s="5"/>
      <c r="K10" s="5"/>
      <c r="L10" s="5"/>
      <c r="M10" s="5"/>
      <c r="N10" s="5"/>
      <c r="O10" s="5"/>
      <c r="P10" s="5"/>
      <c r="Q10" s="5"/>
      <c r="R10" s="5"/>
    </row>
    <row r="11" spans="1:18" x14ac:dyDescent="0.3">
      <c r="A11" s="5"/>
      <c r="B11" s="5"/>
      <c r="C11" s="5"/>
      <c r="D11" s="5"/>
      <c r="E11" s="5"/>
      <c r="F11" s="5"/>
      <c r="G11" s="5"/>
      <c r="H11" s="5"/>
      <c r="I11" s="5"/>
      <c r="J11" s="5"/>
      <c r="K11" s="5"/>
      <c r="L11" s="5"/>
      <c r="M11" s="5"/>
      <c r="N11" s="5"/>
      <c r="O11" s="5"/>
      <c r="P11" s="5"/>
      <c r="Q11" s="5"/>
      <c r="R11" s="5"/>
    </row>
    <row r="12" spans="1:18" x14ac:dyDescent="0.3">
      <c r="A12" s="5"/>
      <c r="B12" s="5"/>
      <c r="C12" s="5"/>
      <c r="D12" s="5"/>
      <c r="E12" s="5"/>
      <c r="F12" s="5"/>
      <c r="G12" s="5"/>
      <c r="H12" s="5"/>
      <c r="I12" s="5"/>
      <c r="J12" s="5"/>
      <c r="K12" s="5"/>
      <c r="L12" s="5"/>
      <c r="M12" s="5"/>
      <c r="N12" s="5"/>
      <c r="O12" s="5"/>
      <c r="P12" s="5"/>
      <c r="Q12" s="5"/>
      <c r="R12" s="5"/>
    </row>
    <row r="13" spans="1:18" x14ac:dyDescent="0.3">
      <c r="A13" s="5"/>
      <c r="B13" s="5"/>
      <c r="C13" s="5"/>
      <c r="D13" s="5"/>
      <c r="E13" s="5"/>
      <c r="F13" s="5"/>
      <c r="G13" s="5"/>
      <c r="H13" s="5"/>
      <c r="I13" s="5"/>
      <c r="J13" s="5"/>
      <c r="K13" s="5"/>
      <c r="L13" s="5"/>
      <c r="M13" s="5"/>
      <c r="N13" s="5"/>
      <c r="O13" s="5"/>
      <c r="P13" s="5"/>
      <c r="Q13" s="5"/>
      <c r="R13" s="5"/>
    </row>
    <row r="14" spans="1:18" x14ac:dyDescent="0.3">
      <c r="A14" s="5"/>
      <c r="B14" s="5"/>
      <c r="C14" s="5"/>
      <c r="D14" s="5"/>
      <c r="E14" s="5"/>
      <c r="F14" s="5"/>
      <c r="G14" s="5"/>
      <c r="H14" s="5"/>
      <c r="I14" s="5"/>
      <c r="J14" s="5"/>
      <c r="K14" s="5"/>
      <c r="L14" s="5"/>
      <c r="M14" s="5"/>
      <c r="N14" s="5"/>
      <c r="O14" s="5"/>
      <c r="P14" s="5"/>
      <c r="Q14" s="5"/>
      <c r="R14" s="5"/>
    </row>
    <row r="15" spans="1:18" x14ac:dyDescent="0.3">
      <c r="A15" s="5"/>
      <c r="B15" s="5"/>
      <c r="C15" s="5"/>
      <c r="D15" s="5"/>
      <c r="E15" s="5"/>
      <c r="F15" s="5"/>
      <c r="G15" s="5"/>
      <c r="H15" s="5"/>
      <c r="I15" s="5"/>
      <c r="J15" s="5"/>
      <c r="K15" s="5"/>
      <c r="L15" s="5"/>
      <c r="M15" s="5"/>
      <c r="N15" s="5"/>
      <c r="O15" s="5"/>
      <c r="P15" s="5"/>
      <c r="Q15" s="5"/>
      <c r="R15" s="5"/>
    </row>
    <row r="16" spans="1:18" x14ac:dyDescent="0.3">
      <c r="A16" s="5"/>
      <c r="B16" s="5"/>
      <c r="C16" s="5"/>
      <c r="D16" s="5"/>
      <c r="E16" s="5"/>
      <c r="F16" s="5"/>
      <c r="G16" s="5"/>
      <c r="H16" s="5"/>
      <c r="I16" s="5"/>
      <c r="J16" s="5"/>
      <c r="K16" s="5"/>
      <c r="L16" s="5"/>
      <c r="M16" s="5"/>
      <c r="N16" s="5"/>
      <c r="O16" s="5"/>
      <c r="P16" s="5"/>
      <c r="Q16" s="5"/>
      <c r="R16" s="5"/>
    </row>
    <row r="17" spans="1:18" x14ac:dyDescent="0.3">
      <c r="A17" s="5"/>
      <c r="B17" s="5"/>
      <c r="C17" s="5"/>
      <c r="D17" s="5"/>
      <c r="E17" s="5"/>
      <c r="F17" s="5"/>
      <c r="G17" s="5"/>
      <c r="H17" s="5"/>
      <c r="I17" s="5"/>
      <c r="J17" s="5"/>
      <c r="K17" s="5"/>
      <c r="L17" s="5"/>
      <c r="M17" s="5"/>
      <c r="N17" s="5"/>
      <c r="O17" s="5"/>
      <c r="P17" s="5"/>
      <c r="Q17" s="5"/>
      <c r="R17" s="5"/>
    </row>
    <row r="18" spans="1:18" x14ac:dyDescent="0.3">
      <c r="A18" s="5"/>
      <c r="B18" s="5"/>
      <c r="C18" s="5"/>
      <c r="D18" s="5"/>
      <c r="E18" s="5"/>
      <c r="F18" s="5"/>
      <c r="G18" s="5"/>
      <c r="H18" s="5"/>
      <c r="I18" s="5"/>
      <c r="J18" s="5"/>
      <c r="K18" s="5"/>
      <c r="L18" s="5"/>
      <c r="M18" s="5"/>
      <c r="N18" s="5"/>
      <c r="O18" s="5"/>
      <c r="P18" s="5"/>
      <c r="Q18" s="5"/>
      <c r="R18" s="5"/>
    </row>
    <row r="19" spans="1:18" x14ac:dyDescent="0.3">
      <c r="A19" s="5"/>
      <c r="B19" s="5"/>
      <c r="C19" s="5"/>
      <c r="D19" s="5"/>
      <c r="E19" s="5"/>
      <c r="F19" s="5"/>
      <c r="G19" s="5"/>
      <c r="H19" s="5"/>
      <c r="I19" s="5"/>
      <c r="J19" s="5"/>
      <c r="K19" s="5"/>
      <c r="L19" s="5"/>
      <c r="M19" s="5"/>
      <c r="N19" s="5"/>
      <c r="O19" s="5"/>
      <c r="P19" s="5"/>
      <c r="Q19" s="5"/>
      <c r="R19" s="5"/>
    </row>
    <row r="20" spans="1:18" x14ac:dyDescent="0.3">
      <c r="A20" s="5"/>
      <c r="B20" s="5"/>
      <c r="C20" s="5"/>
      <c r="D20" s="5"/>
      <c r="E20" s="5"/>
      <c r="F20" s="5"/>
      <c r="G20" s="5"/>
      <c r="H20" s="5"/>
      <c r="I20" s="5"/>
      <c r="J20" s="5"/>
      <c r="K20" s="5"/>
      <c r="L20" s="5"/>
      <c r="M20" s="5"/>
      <c r="N20" s="5"/>
      <c r="O20" s="5"/>
      <c r="P20" s="5"/>
      <c r="Q20" s="5"/>
      <c r="R20" s="5"/>
    </row>
    <row r="21" spans="1:18" x14ac:dyDescent="0.3">
      <c r="A21" s="5"/>
      <c r="B21" s="5"/>
      <c r="C21" s="5"/>
      <c r="D21" s="5"/>
      <c r="E21" s="5"/>
      <c r="F21" s="5"/>
      <c r="G21" s="5"/>
      <c r="H21" s="5"/>
      <c r="I21" s="5"/>
      <c r="J21" s="5"/>
      <c r="K21" s="5"/>
      <c r="L21" s="5"/>
      <c r="M21" s="5"/>
      <c r="N21" s="5"/>
      <c r="O21" s="5"/>
      <c r="P21" s="5"/>
      <c r="Q21" s="5"/>
      <c r="R21" s="5"/>
    </row>
    <row r="22" spans="1:18" x14ac:dyDescent="0.3">
      <c r="A22" s="5"/>
      <c r="B22" s="5"/>
      <c r="C22" s="5"/>
      <c r="D22" s="5"/>
      <c r="E22" s="5"/>
      <c r="F22" s="5"/>
      <c r="G22" s="5"/>
      <c r="H22" s="5"/>
      <c r="I22" s="5"/>
      <c r="J22" s="5"/>
      <c r="K22" s="5"/>
      <c r="L22" s="5"/>
      <c r="M22" s="5"/>
      <c r="N22" s="5"/>
      <c r="O22" s="5"/>
      <c r="P22" s="5"/>
      <c r="Q22" s="5"/>
      <c r="R22" s="5"/>
    </row>
    <row r="23" spans="1:18" x14ac:dyDescent="0.3">
      <c r="A23" s="5"/>
      <c r="B23" s="5"/>
      <c r="C23" s="5"/>
      <c r="D23" s="5"/>
      <c r="E23" s="5"/>
      <c r="F23" s="5"/>
      <c r="G23" s="5"/>
      <c r="H23" s="5"/>
      <c r="I23" s="5"/>
      <c r="J23" s="5"/>
      <c r="K23" s="5"/>
      <c r="L23" s="5"/>
      <c r="M23" s="5"/>
      <c r="N23" s="5"/>
      <c r="O23" s="5"/>
      <c r="P23" s="5"/>
      <c r="Q23" s="5"/>
      <c r="R23" s="5"/>
    </row>
    <row r="24" spans="1:18" x14ac:dyDescent="0.3">
      <c r="A24" s="5"/>
      <c r="B24" s="5"/>
      <c r="C24" s="5"/>
      <c r="D24" s="5"/>
      <c r="E24" s="5"/>
      <c r="F24" s="5"/>
      <c r="G24" s="5"/>
      <c r="H24" s="5"/>
      <c r="I24" s="5"/>
      <c r="J24" s="5"/>
      <c r="K24" s="5"/>
      <c r="L24" s="5"/>
      <c r="M24" s="5"/>
      <c r="N24" s="5"/>
      <c r="O24" s="5"/>
      <c r="P24" s="5"/>
      <c r="Q24" s="5"/>
      <c r="R24" s="5"/>
    </row>
    <row r="25" spans="1:18" x14ac:dyDescent="0.3">
      <c r="A25" s="5"/>
      <c r="B25" s="5"/>
      <c r="C25" s="5"/>
      <c r="D25" s="5"/>
      <c r="E25" s="5"/>
      <c r="F25" s="5"/>
      <c r="G25" s="5"/>
      <c r="H25" s="5"/>
      <c r="I25" s="5"/>
      <c r="J25" s="5"/>
      <c r="K25" s="5"/>
      <c r="L25" s="5"/>
      <c r="M25" s="5"/>
      <c r="N25" s="5"/>
      <c r="O25" s="5"/>
      <c r="P25" s="5"/>
      <c r="Q25" s="5"/>
      <c r="R25" s="5"/>
    </row>
    <row r="26" spans="1:18" x14ac:dyDescent="0.3">
      <c r="A26" s="5"/>
      <c r="B26" s="5"/>
      <c r="C26" s="5"/>
      <c r="D26" s="5"/>
      <c r="E26" s="5"/>
      <c r="F26" s="5"/>
      <c r="G26" s="5"/>
      <c r="H26" s="5"/>
      <c r="I26" s="5"/>
      <c r="J26" s="5"/>
      <c r="K26" s="5"/>
      <c r="L26" s="5"/>
      <c r="M26" s="5"/>
      <c r="N26" s="5"/>
      <c r="O26" s="5"/>
      <c r="P26" s="5"/>
      <c r="Q26" s="5"/>
      <c r="R26" s="5"/>
    </row>
    <row r="27" spans="1:18" x14ac:dyDescent="0.3">
      <c r="A27" s="5"/>
      <c r="B27" s="5"/>
      <c r="C27" s="5"/>
      <c r="D27" s="5"/>
      <c r="E27" s="5"/>
      <c r="F27" s="5"/>
      <c r="G27" s="5"/>
      <c r="H27" s="5"/>
      <c r="I27" s="5"/>
      <c r="J27" s="5"/>
      <c r="K27" s="5"/>
      <c r="L27" s="5"/>
      <c r="M27" s="5"/>
      <c r="N27" s="5"/>
      <c r="O27" s="5"/>
      <c r="P27" s="5"/>
      <c r="Q27" s="5"/>
      <c r="R27" s="5"/>
    </row>
    <row r="28" spans="1:18" x14ac:dyDescent="0.3">
      <c r="A28" s="5"/>
      <c r="B28" s="5"/>
      <c r="C28" s="5"/>
      <c r="D28" s="5"/>
      <c r="E28" s="5"/>
      <c r="F28" s="5"/>
      <c r="G28" s="5"/>
      <c r="H28" s="5"/>
      <c r="I28" s="5"/>
      <c r="J28" s="5"/>
      <c r="K28" s="5"/>
      <c r="L28" s="5"/>
      <c r="M28" s="5"/>
      <c r="N28" s="5"/>
      <c r="O28" s="5"/>
      <c r="P28" s="5"/>
      <c r="Q28" s="5"/>
      <c r="R28" s="5"/>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19F63-2D7F-4062-85B8-20073068DEC0}">
  <dimension ref="A1:R28"/>
  <sheetViews>
    <sheetView zoomScale="84" workbookViewId="0"/>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A28" s="6"/>
      <c r="B28" s="6"/>
      <c r="C28" s="6"/>
      <c r="D28" s="6"/>
      <c r="E28" s="6"/>
      <c r="F28" s="6"/>
      <c r="G28" s="6"/>
      <c r="H28" s="6"/>
      <c r="I28" s="6"/>
      <c r="J28" s="6"/>
      <c r="K28" s="6"/>
      <c r="L28" s="6"/>
      <c r="M28" s="6"/>
      <c r="N28" s="6"/>
      <c r="O28" s="6"/>
      <c r="P28" s="6"/>
      <c r="Q28" s="6"/>
      <c r="R28" s="6"/>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345FCA-455C-4C76-9991-728A497A14FC}">
  <dimension ref="A1:R28"/>
  <sheetViews>
    <sheetView zoomScale="84" workbookViewId="0">
      <selection activeCell="F32" sqref="F32"/>
    </sheetView>
  </sheetViews>
  <sheetFormatPr defaultRowHeight="14.4" x14ac:dyDescent="0.3"/>
  <sheetData>
    <row r="1" spans="1:18" x14ac:dyDescent="0.3">
      <c r="A1" s="6"/>
      <c r="B1" s="6"/>
      <c r="C1" s="6"/>
      <c r="D1" s="6"/>
      <c r="E1" s="6"/>
      <c r="F1" s="6"/>
      <c r="G1" s="6"/>
      <c r="H1" s="6"/>
      <c r="I1" s="6"/>
      <c r="J1" s="6"/>
      <c r="K1" s="6"/>
      <c r="L1" s="6"/>
      <c r="M1" s="6"/>
      <c r="N1" s="6"/>
      <c r="O1" s="6"/>
      <c r="P1" s="6"/>
      <c r="Q1" s="6"/>
      <c r="R1" s="6"/>
    </row>
    <row r="2" spans="1:18" x14ac:dyDescent="0.3">
      <c r="A2" s="6"/>
      <c r="B2" s="6"/>
      <c r="C2" s="6"/>
      <c r="D2" s="6"/>
      <c r="E2" s="6"/>
      <c r="F2" s="6"/>
      <c r="G2" s="6"/>
      <c r="H2" s="6"/>
      <c r="I2" s="6"/>
      <c r="J2" s="6"/>
      <c r="K2" s="6"/>
      <c r="L2" s="6"/>
      <c r="M2" s="6"/>
      <c r="N2" s="6"/>
      <c r="O2" s="6"/>
      <c r="P2" s="6"/>
      <c r="Q2" s="6"/>
      <c r="R2" s="6"/>
    </row>
    <row r="3" spans="1:18" x14ac:dyDescent="0.3">
      <c r="A3" s="6"/>
      <c r="B3" s="6"/>
      <c r="C3" s="6"/>
      <c r="D3" s="6"/>
      <c r="E3" s="6"/>
      <c r="F3" s="6"/>
      <c r="G3" s="6"/>
      <c r="H3" s="6"/>
      <c r="I3" s="6"/>
      <c r="J3" s="6"/>
      <c r="K3" s="6"/>
      <c r="L3" s="6"/>
      <c r="M3" s="6"/>
      <c r="N3" s="6"/>
      <c r="O3" s="6"/>
      <c r="P3" s="6"/>
      <c r="Q3" s="6"/>
      <c r="R3" s="6"/>
    </row>
    <row r="4" spans="1:18" x14ac:dyDescent="0.3">
      <c r="A4" s="6"/>
      <c r="B4" s="6"/>
      <c r="C4" s="6"/>
      <c r="D4" s="6"/>
      <c r="E4" s="6"/>
      <c r="F4" s="6"/>
      <c r="G4" s="6"/>
      <c r="H4" s="6"/>
      <c r="I4" s="6"/>
      <c r="J4" s="6"/>
      <c r="K4" s="6"/>
      <c r="L4" s="6"/>
      <c r="M4" s="6"/>
      <c r="N4" s="6"/>
      <c r="O4" s="6"/>
      <c r="P4" s="6"/>
      <c r="Q4" s="6"/>
      <c r="R4" s="6"/>
    </row>
    <row r="5" spans="1:18" x14ac:dyDescent="0.3">
      <c r="A5" s="6"/>
      <c r="B5" s="6"/>
      <c r="C5" s="6"/>
      <c r="D5" s="6"/>
      <c r="E5" s="6"/>
      <c r="F5" s="6"/>
      <c r="G5" s="6"/>
      <c r="H5" s="6"/>
      <c r="I5" s="6"/>
      <c r="J5" s="6"/>
      <c r="K5" s="6"/>
      <c r="L5" s="6"/>
      <c r="M5" s="6"/>
      <c r="N5" s="6"/>
      <c r="O5" s="6"/>
      <c r="P5" s="6"/>
      <c r="Q5" s="6"/>
      <c r="R5" s="6"/>
    </row>
    <row r="6" spans="1:18" x14ac:dyDescent="0.3">
      <c r="A6" s="6"/>
      <c r="B6" s="6"/>
      <c r="C6" s="6"/>
      <c r="D6" s="6"/>
      <c r="E6" s="6"/>
      <c r="F6" s="6"/>
      <c r="G6" s="6"/>
      <c r="H6" s="6"/>
      <c r="I6" s="6"/>
      <c r="J6" s="6"/>
      <c r="K6" s="6"/>
      <c r="L6" s="6"/>
      <c r="M6" s="6"/>
      <c r="N6" s="6"/>
      <c r="O6" s="6"/>
      <c r="P6" s="6"/>
      <c r="Q6" s="6"/>
      <c r="R6" s="6"/>
    </row>
    <row r="7" spans="1:18" x14ac:dyDescent="0.3">
      <c r="A7" s="6"/>
      <c r="B7" s="6"/>
      <c r="C7" s="6"/>
      <c r="D7" s="6"/>
      <c r="E7" s="6"/>
      <c r="F7" s="6"/>
      <c r="G7" s="6"/>
      <c r="H7" s="6"/>
      <c r="I7" s="6"/>
      <c r="J7" s="6"/>
      <c r="K7" s="6"/>
      <c r="L7" s="6"/>
      <c r="M7" s="6"/>
      <c r="N7" s="6"/>
      <c r="O7" s="6"/>
      <c r="P7" s="6"/>
      <c r="Q7" s="6"/>
      <c r="R7" s="6"/>
    </row>
    <row r="8" spans="1:18" x14ac:dyDescent="0.3">
      <c r="A8" s="6"/>
      <c r="B8" s="6"/>
      <c r="C8" s="6"/>
      <c r="D8" s="6"/>
      <c r="E8" s="6"/>
      <c r="F8" s="6"/>
      <c r="G8" s="6"/>
      <c r="H8" s="6"/>
      <c r="I8" s="6"/>
      <c r="J8" s="6"/>
      <c r="K8" s="6"/>
      <c r="L8" s="6"/>
      <c r="M8" s="6"/>
      <c r="N8" s="6"/>
      <c r="O8" s="6"/>
      <c r="P8" s="6"/>
      <c r="Q8" s="6"/>
      <c r="R8" s="6"/>
    </row>
    <row r="9" spans="1:18" x14ac:dyDescent="0.3">
      <c r="A9" s="6"/>
      <c r="B9" s="6"/>
      <c r="C9" s="6"/>
      <c r="D9" s="6"/>
      <c r="E9" s="6"/>
      <c r="F9" s="6"/>
      <c r="G9" s="6"/>
      <c r="H9" s="6"/>
      <c r="I9" s="6"/>
      <c r="J9" s="6"/>
      <c r="K9" s="6"/>
      <c r="L9" s="6"/>
      <c r="M9" s="6"/>
      <c r="N9" s="6"/>
      <c r="O9" s="6"/>
      <c r="P9" s="6"/>
      <c r="Q9" s="6"/>
      <c r="R9" s="6"/>
    </row>
    <row r="10" spans="1:18" x14ac:dyDescent="0.3">
      <c r="A10" s="6"/>
      <c r="B10" s="6"/>
      <c r="C10" s="6"/>
      <c r="D10" s="6"/>
      <c r="E10" s="6"/>
      <c r="F10" s="6"/>
      <c r="G10" s="6"/>
      <c r="H10" s="6"/>
      <c r="I10" s="6"/>
      <c r="J10" s="6"/>
      <c r="K10" s="6"/>
      <c r="L10" s="6"/>
      <c r="M10" s="6"/>
      <c r="N10" s="6"/>
      <c r="O10" s="6"/>
      <c r="P10" s="6"/>
      <c r="Q10" s="6"/>
      <c r="R10" s="6"/>
    </row>
    <row r="11" spans="1:18" x14ac:dyDescent="0.3">
      <c r="A11" s="6"/>
      <c r="B11" s="6"/>
      <c r="C11" s="6"/>
      <c r="D11" s="6"/>
      <c r="E11" s="6"/>
      <c r="F11" s="6"/>
      <c r="G11" s="6"/>
      <c r="H11" s="6"/>
      <c r="I11" s="6"/>
      <c r="J11" s="6"/>
      <c r="K11" s="6"/>
      <c r="L11" s="6"/>
      <c r="M11" s="6"/>
      <c r="N11" s="6"/>
      <c r="O11" s="6"/>
      <c r="P11" s="6"/>
      <c r="Q11" s="6"/>
      <c r="R11" s="6"/>
    </row>
    <row r="12" spans="1:18" x14ac:dyDescent="0.3">
      <c r="A12" s="6"/>
      <c r="B12" s="6"/>
      <c r="C12" s="6"/>
      <c r="D12" s="6"/>
      <c r="E12" s="6"/>
      <c r="F12" s="6"/>
      <c r="G12" s="6"/>
      <c r="H12" s="6"/>
      <c r="I12" s="6"/>
      <c r="J12" s="6"/>
      <c r="K12" s="6"/>
      <c r="L12" s="6"/>
      <c r="M12" s="6"/>
      <c r="N12" s="6"/>
      <c r="O12" s="6"/>
      <c r="P12" s="6"/>
      <c r="Q12" s="6"/>
      <c r="R12" s="6"/>
    </row>
    <row r="13" spans="1:18" x14ac:dyDescent="0.3">
      <c r="A13" s="6"/>
      <c r="B13" s="6"/>
      <c r="C13" s="6"/>
      <c r="D13" s="6"/>
      <c r="E13" s="6"/>
      <c r="F13" s="6"/>
      <c r="G13" s="6"/>
      <c r="H13" s="6"/>
      <c r="I13" s="6"/>
      <c r="J13" s="6"/>
      <c r="K13" s="6"/>
      <c r="L13" s="6"/>
      <c r="M13" s="6"/>
      <c r="N13" s="6"/>
      <c r="O13" s="6"/>
      <c r="P13" s="6"/>
      <c r="Q13" s="6"/>
      <c r="R13" s="6"/>
    </row>
    <row r="14" spans="1:18" x14ac:dyDescent="0.3">
      <c r="A14" s="6"/>
      <c r="B14" s="6"/>
      <c r="C14" s="6"/>
      <c r="D14" s="6"/>
      <c r="E14" s="6"/>
      <c r="F14" s="6"/>
      <c r="G14" s="6"/>
      <c r="H14" s="6"/>
      <c r="I14" s="6"/>
      <c r="J14" s="6"/>
      <c r="K14" s="6"/>
      <c r="L14" s="6"/>
      <c r="M14" s="6"/>
      <c r="N14" s="6"/>
      <c r="O14" s="6"/>
      <c r="P14" s="6"/>
      <c r="Q14" s="6"/>
      <c r="R14" s="6"/>
    </row>
    <row r="15" spans="1:18" x14ac:dyDescent="0.3">
      <c r="A15" s="6"/>
      <c r="B15" s="6"/>
      <c r="C15" s="6"/>
      <c r="D15" s="6"/>
      <c r="E15" s="6"/>
      <c r="F15" s="6"/>
      <c r="G15" s="6"/>
      <c r="H15" s="6"/>
      <c r="I15" s="6"/>
      <c r="J15" s="6"/>
      <c r="K15" s="6"/>
      <c r="L15" s="6"/>
      <c r="M15" s="6"/>
      <c r="N15" s="6"/>
      <c r="O15" s="6"/>
      <c r="P15" s="6"/>
      <c r="Q15" s="6"/>
      <c r="R15" s="6"/>
    </row>
    <row r="16" spans="1:18" x14ac:dyDescent="0.3">
      <c r="A16" s="6"/>
      <c r="B16" s="6"/>
      <c r="C16" s="6"/>
      <c r="D16" s="6"/>
      <c r="E16" s="6"/>
      <c r="F16" s="6"/>
      <c r="G16" s="6"/>
      <c r="H16" s="6"/>
      <c r="I16" s="6"/>
      <c r="J16" s="6"/>
      <c r="K16" s="6"/>
      <c r="L16" s="6"/>
      <c r="M16" s="6"/>
      <c r="N16" s="6"/>
      <c r="O16" s="6"/>
      <c r="P16" s="6"/>
      <c r="Q16" s="6"/>
      <c r="R16" s="6"/>
    </row>
    <row r="17" spans="1:18" x14ac:dyDescent="0.3">
      <c r="A17" s="6"/>
      <c r="B17" s="6"/>
      <c r="C17" s="6"/>
      <c r="D17" s="6"/>
      <c r="E17" s="6"/>
      <c r="F17" s="6"/>
      <c r="G17" s="6"/>
      <c r="H17" s="6"/>
      <c r="I17" s="6"/>
      <c r="J17" s="6"/>
      <c r="K17" s="6"/>
      <c r="L17" s="6"/>
      <c r="M17" s="6"/>
      <c r="N17" s="6"/>
      <c r="O17" s="6"/>
      <c r="P17" s="6"/>
      <c r="Q17" s="6"/>
      <c r="R17" s="6"/>
    </row>
    <row r="18" spans="1:18" x14ac:dyDescent="0.3">
      <c r="A18" s="6"/>
      <c r="B18" s="6"/>
      <c r="C18" s="6"/>
      <c r="D18" s="6"/>
      <c r="E18" s="6"/>
      <c r="F18" s="6"/>
      <c r="G18" s="6"/>
      <c r="H18" s="6"/>
      <c r="I18" s="6"/>
      <c r="J18" s="6"/>
      <c r="K18" s="6"/>
      <c r="L18" s="6"/>
      <c r="M18" s="6"/>
      <c r="N18" s="6"/>
      <c r="O18" s="6"/>
      <c r="P18" s="6"/>
      <c r="Q18" s="6"/>
      <c r="R18" s="6"/>
    </row>
    <row r="19" spans="1:18" x14ac:dyDescent="0.3">
      <c r="A19" s="6"/>
      <c r="B19" s="6"/>
      <c r="C19" s="6"/>
      <c r="D19" s="6"/>
      <c r="E19" s="6"/>
      <c r="F19" s="6"/>
      <c r="G19" s="6"/>
      <c r="H19" s="6"/>
      <c r="I19" s="6"/>
      <c r="J19" s="6"/>
      <c r="K19" s="6"/>
      <c r="L19" s="6"/>
      <c r="M19" s="6"/>
      <c r="N19" s="6"/>
      <c r="O19" s="6"/>
      <c r="P19" s="6"/>
      <c r="Q19" s="6"/>
      <c r="R19" s="6"/>
    </row>
    <row r="20" spans="1:18" x14ac:dyDescent="0.3">
      <c r="A20" s="6"/>
      <c r="B20" s="6"/>
      <c r="C20" s="6"/>
      <c r="D20" s="6"/>
      <c r="E20" s="6"/>
      <c r="F20" s="6"/>
      <c r="G20" s="6"/>
      <c r="H20" s="6"/>
      <c r="I20" s="6"/>
      <c r="J20" s="6"/>
      <c r="K20" s="6"/>
      <c r="L20" s="6"/>
      <c r="M20" s="6"/>
      <c r="N20" s="6"/>
      <c r="O20" s="6"/>
      <c r="P20" s="6"/>
      <c r="Q20" s="6"/>
      <c r="R20" s="6"/>
    </row>
    <row r="21" spans="1:18" x14ac:dyDescent="0.3">
      <c r="A21" s="6"/>
      <c r="B21" s="6"/>
      <c r="C21" s="6"/>
      <c r="D21" s="6"/>
      <c r="E21" s="6"/>
      <c r="F21" s="6"/>
      <c r="G21" s="6"/>
      <c r="H21" s="6"/>
      <c r="I21" s="6"/>
      <c r="J21" s="6"/>
      <c r="K21" s="6"/>
      <c r="L21" s="6"/>
      <c r="M21" s="6"/>
      <c r="N21" s="6"/>
      <c r="O21" s="6"/>
      <c r="P21" s="6"/>
      <c r="Q21" s="6"/>
      <c r="R21" s="6"/>
    </row>
    <row r="22" spans="1:18" x14ac:dyDescent="0.3">
      <c r="A22" s="6"/>
      <c r="B22" s="6"/>
      <c r="C22" s="6"/>
      <c r="D22" s="6"/>
      <c r="E22" s="6"/>
      <c r="F22" s="6"/>
      <c r="G22" s="6"/>
      <c r="H22" s="6"/>
      <c r="I22" s="6"/>
      <c r="J22" s="6"/>
      <c r="K22" s="6"/>
      <c r="L22" s="6"/>
      <c r="M22" s="6"/>
      <c r="N22" s="6"/>
      <c r="O22" s="6"/>
      <c r="P22" s="6"/>
      <c r="Q22" s="6"/>
      <c r="R22" s="6"/>
    </row>
    <row r="23" spans="1:18" x14ac:dyDescent="0.3">
      <c r="A23" s="6"/>
      <c r="B23" s="6"/>
      <c r="C23" s="6"/>
      <c r="D23" s="6"/>
      <c r="E23" s="6"/>
      <c r="F23" s="6"/>
      <c r="G23" s="6"/>
      <c r="H23" s="6"/>
      <c r="I23" s="6"/>
      <c r="J23" s="6"/>
      <c r="K23" s="6"/>
      <c r="L23" s="6"/>
      <c r="M23" s="6"/>
      <c r="N23" s="6"/>
      <c r="O23" s="6"/>
      <c r="P23" s="6"/>
      <c r="Q23" s="6"/>
      <c r="R23" s="6"/>
    </row>
    <row r="24" spans="1:18" x14ac:dyDescent="0.3">
      <c r="A24" s="6"/>
      <c r="B24" s="6"/>
      <c r="C24" s="6"/>
      <c r="D24" s="6"/>
      <c r="E24" s="6"/>
      <c r="F24" s="6"/>
      <c r="G24" s="6"/>
      <c r="H24" s="6"/>
      <c r="I24" s="6"/>
      <c r="J24" s="6"/>
      <c r="K24" s="6"/>
      <c r="L24" s="6"/>
      <c r="M24" s="6"/>
      <c r="N24" s="6"/>
      <c r="O24" s="6"/>
      <c r="P24" s="6"/>
      <c r="Q24" s="6"/>
      <c r="R24" s="6"/>
    </row>
    <row r="25" spans="1:18" x14ac:dyDescent="0.3">
      <c r="A25" s="6"/>
      <c r="B25" s="6"/>
      <c r="C25" s="6"/>
      <c r="D25" s="6"/>
      <c r="E25" s="6"/>
      <c r="F25" s="6"/>
      <c r="G25" s="6"/>
      <c r="H25" s="6"/>
      <c r="I25" s="6"/>
      <c r="J25" s="6"/>
      <c r="K25" s="6"/>
      <c r="L25" s="6"/>
      <c r="M25" s="6"/>
      <c r="N25" s="6"/>
      <c r="O25" s="6"/>
      <c r="P25" s="6"/>
      <c r="Q25" s="6"/>
      <c r="R25" s="6"/>
    </row>
    <row r="26" spans="1:18" x14ac:dyDescent="0.3">
      <c r="A26" s="6"/>
      <c r="B26" s="6"/>
      <c r="C26" s="6"/>
      <c r="D26" s="6"/>
      <c r="E26" s="6"/>
      <c r="F26" s="6"/>
      <c r="G26" s="6"/>
      <c r="H26" s="6"/>
      <c r="I26" s="6"/>
      <c r="J26" s="6"/>
      <c r="K26" s="6"/>
      <c r="L26" s="6"/>
      <c r="M26" s="6"/>
      <c r="N26" s="6"/>
      <c r="O26" s="6"/>
      <c r="P26" s="6"/>
      <c r="Q26" s="6"/>
      <c r="R26" s="6"/>
    </row>
    <row r="27" spans="1:18" x14ac:dyDescent="0.3">
      <c r="A27" s="6"/>
      <c r="B27" s="6"/>
      <c r="C27" s="6"/>
      <c r="D27" s="6"/>
      <c r="E27" s="6"/>
      <c r="F27" s="6"/>
      <c r="G27" s="6"/>
      <c r="H27" s="6"/>
      <c r="I27" s="6"/>
      <c r="J27" s="6"/>
      <c r="K27" s="6"/>
      <c r="L27" s="6"/>
      <c r="M27" s="6"/>
      <c r="N27" s="6"/>
      <c r="O27" s="6"/>
      <c r="P27" s="6"/>
      <c r="Q27" s="6"/>
      <c r="R27" s="6"/>
    </row>
    <row r="28" spans="1:18" x14ac:dyDescent="0.3">
      <c r="A28" s="6"/>
      <c r="B28" s="6"/>
      <c r="C28" s="6"/>
      <c r="D28" s="6"/>
      <c r="E28" s="6"/>
      <c r="F28" s="6"/>
      <c r="G28" s="6"/>
      <c r="H28" s="6"/>
      <c r="I28" s="6"/>
      <c r="J28" s="6"/>
      <c r="K28" s="6"/>
      <c r="L28" s="6"/>
      <c r="M28" s="6"/>
      <c r="N28" s="6"/>
      <c r="O28" s="6"/>
      <c r="P28" s="6"/>
      <c r="Q28" s="6"/>
      <c r="R28" s="6"/>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9B9209FF-CF38-4548-999E-0FF6CC4388E0}">
  <ds:schemaRefs>
    <ds:schemaRef ds:uri="http://schemas.microsoft.com/DataMashup"/>
  </ds:schemaRefs>
</ds:datastoreItem>
</file>

<file path=customXml/itemProps2.xml><?xml version="1.0" encoding="utf-8"?>
<ds:datastoreItem xmlns:ds="http://schemas.openxmlformats.org/officeDocument/2006/customXml" ds:itemID="{8D1D5E4D-0793-4B42-B08A-1E4D1B399106}">
  <ds:schemaRefs/>
</ds:datastoreItem>
</file>

<file path=customXml/itemProps3.xml><?xml version="1.0" encoding="utf-8"?>
<ds:datastoreItem xmlns:ds="http://schemas.openxmlformats.org/officeDocument/2006/customXml" ds:itemID="{6DEA3E5B-F60B-4A7B-BE16-D2EA36206A3C}">
  <ds:schemaRefs/>
</ds:datastoreItem>
</file>

<file path=customXml/itemProps4.xml><?xml version="1.0" encoding="utf-8"?>
<ds:datastoreItem xmlns:ds="http://schemas.openxmlformats.org/officeDocument/2006/customXml" ds:itemID="{F4030FF9-7AF4-4D02-A1C8-91E6F69AD32B}">
  <ds:schemaRefs/>
</ds:datastoreItem>
</file>

<file path=customXml/itemProps5.xml><?xml version="1.0" encoding="utf-8"?>
<ds:datastoreItem xmlns:ds="http://schemas.openxmlformats.org/officeDocument/2006/customXml" ds:itemID="{6EE76DC4-EF65-463A-B943-D1E5A80D4738}">
  <ds:schemaRefs/>
</ds:datastoreItem>
</file>

<file path=customXml/itemProps6.xml><?xml version="1.0" encoding="utf-8"?>
<ds:datastoreItem xmlns:ds="http://schemas.openxmlformats.org/officeDocument/2006/customXml" ds:itemID="{2D8987AE-8848-4B48-B186-DE7DA765673F}">
  <ds:schemaRefs/>
</ds:datastoreItem>
</file>

<file path=customXml/itemProps7.xml><?xml version="1.0" encoding="utf-8"?>
<ds:datastoreItem xmlns:ds="http://schemas.openxmlformats.org/officeDocument/2006/customXml" ds:itemID="{DF4BF39F-C0CE-4614-A100-60380A657E14}">
  <ds:schemaRefs/>
</ds:datastoreItem>
</file>

<file path=customXml/itemProps8.xml><?xml version="1.0" encoding="utf-8"?>
<ds:datastoreItem xmlns:ds="http://schemas.openxmlformats.org/officeDocument/2006/customXml" ds:itemID="{A12FAACC-D81B-45DA-B87F-6E1CC7537C17}">
  <ds:schemaRefs/>
</ds:datastoreItem>
</file>

<file path=customXml/itemProps9.xml><?xml version="1.0" encoding="utf-8"?>
<ds:datastoreItem xmlns:ds="http://schemas.openxmlformats.org/officeDocument/2006/customXml" ds:itemID="{A3095F2D-7EAD-44AF-91E0-5074488CB815}">
  <ds:schemaRefs/>
</ds:datastoreItem>
</file>

<file path=customXml/itemProps10.xml><?xml version="1.0" encoding="utf-8"?>
<ds:datastoreItem xmlns:ds="http://schemas.openxmlformats.org/officeDocument/2006/customXml" ds:itemID="{A95B7F45-78E1-4408-9F70-74FAACC0D50B}">
  <ds:schemaRefs/>
</ds:datastoreItem>
</file>

<file path=customXml/itemProps11.xml><?xml version="1.0" encoding="utf-8"?>
<ds:datastoreItem xmlns:ds="http://schemas.openxmlformats.org/officeDocument/2006/customXml" ds:itemID="{EC48B344-8D06-4F3D-B4E7-219C7D8A0E90}">
  <ds:schemaRefs/>
</ds:datastoreItem>
</file>

<file path=customXml/itemProps12.xml><?xml version="1.0" encoding="utf-8"?>
<ds:datastoreItem xmlns:ds="http://schemas.openxmlformats.org/officeDocument/2006/customXml" ds:itemID="{5AA4DCAE-8174-4FBA-A7E0-381D6785B109}">
  <ds:schemaRefs/>
</ds:datastoreItem>
</file>

<file path=customXml/itemProps13.xml><?xml version="1.0" encoding="utf-8"?>
<ds:datastoreItem xmlns:ds="http://schemas.openxmlformats.org/officeDocument/2006/customXml" ds:itemID="{C712CA27-49D1-494D-A024-DCB2FCFCF203}">
  <ds:schemaRefs/>
</ds:datastoreItem>
</file>

<file path=customXml/itemProps14.xml><?xml version="1.0" encoding="utf-8"?>
<ds:datastoreItem xmlns:ds="http://schemas.openxmlformats.org/officeDocument/2006/customXml" ds:itemID="{7E891A72-8310-49FB-A560-33EBB3768F39}">
  <ds:schemaRefs/>
</ds:datastoreItem>
</file>

<file path=customXml/itemProps15.xml><?xml version="1.0" encoding="utf-8"?>
<ds:datastoreItem xmlns:ds="http://schemas.openxmlformats.org/officeDocument/2006/customXml" ds:itemID="{5649D2A6-571B-4162-8FD3-E889F253C337}">
  <ds:schemaRefs/>
</ds:datastoreItem>
</file>

<file path=customXml/itemProps16.xml><?xml version="1.0" encoding="utf-8"?>
<ds:datastoreItem xmlns:ds="http://schemas.openxmlformats.org/officeDocument/2006/customXml" ds:itemID="{31C8AF00-3173-466E-8094-49D9C434DB18}">
  <ds:schemaRefs/>
</ds:datastoreItem>
</file>

<file path=customXml/itemProps17.xml><?xml version="1.0" encoding="utf-8"?>
<ds:datastoreItem xmlns:ds="http://schemas.openxmlformats.org/officeDocument/2006/customXml" ds:itemID="{E9DDE96D-47EE-489C-8C2A-6046DC4945F1}">
  <ds:schemaRefs/>
</ds:datastoreItem>
</file>

<file path=customXml/itemProps18.xml><?xml version="1.0" encoding="utf-8"?>
<ds:datastoreItem xmlns:ds="http://schemas.openxmlformats.org/officeDocument/2006/customXml" ds:itemID="{519C24FB-509E-4BE5-B75C-9894E6A6BDF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Patients (ER)</vt:lpstr>
      <vt:lpstr>Average Wait Time (Daily Trend)</vt:lpstr>
      <vt:lpstr>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pratham</dc:creator>
  <cp:lastModifiedBy>pratham</cp:lastModifiedBy>
  <dcterms:created xsi:type="dcterms:W3CDTF">2025-11-09T16:47:13Z</dcterms:created>
  <dcterms:modified xsi:type="dcterms:W3CDTF">2025-11-13T19:52:31Z</dcterms:modified>
</cp:coreProperties>
</file>